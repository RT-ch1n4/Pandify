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2657A8D32EEABE1579519F852F0DB9FB000238EB" xr6:coauthVersionLast="47" xr6:coauthVersionMax="47" xr10:uidLastSave="{00000000-0000-0000-0000-000000000000}"/>
  <bookViews>
    <workbookView xWindow="0" yWindow="0" windowWidth="16384" windowHeight="8192" tabRatio="500" activeTab="5" xr2:uid="{00000000-000D-0000-FFFF-FFFF00000000}"/>
  </bookViews>
  <sheets>
    <sheet name="Dashboard" sheetId="1" r:id="rId1"/>
    <sheet name="Sales Log" sheetId="2" r:id="rId2"/>
    <sheet name="Inventory" sheetId="3" r:id="rId3"/>
    <sheet name="Credit Ledger" sheetId="4" r:id="rId4"/>
    <sheet name="Purchases" sheetId="5" state="hidden" r:id="rId5"/>
    <sheet name="Reports" sheetId="6" r:id="rId6"/>
  </sheets>
  <calcPr calcId="191028" iterate="1" iterateDelta="1E-4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1" i="6" l="1"/>
  <c r="I21" i="6"/>
  <c r="J21" i="6"/>
  <c r="H22" i="6"/>
  <c r="I22" i="6"/>
  <c r="J22" i="6"/>
  <c r="H23" i="6"/>
  <c r="I23" i="6"/>
  <c r="J23" i="6"/>
  <c r="H24" i="6"/>
  <c r="I24" i="6"/>
  <c r="J24" i="6"/>
  <c r="H25" i="6"/>
  <c r="I25" i="6"/>
  <c r="J25" i="6"/>
  <c r="H26" i="6"/>
  <c r="I26" i="6"/>
  <c r="J26" i="6"/>
  <c r="H27" i="6"/>
  <c r="I27" i="6"/>
  <c r="J27" i="6"/>
  <c r="H28" i="6"/>
  <c r="I28" i="6"/>
  <c r="J28" i="6"/>
  <c r="H29" i="6"/>
  <c r="I29" i="6"/>
  <c r="J29" i="6"/>
  <c r="H30" i="6"/>
  <c r="I30" i="6"/>
  <c r="J30" i="6"/>
  <c r="H31" i="6"/>
  <c r="I31" i="6"/>
  <c r="J31" i="6"/>
  <c r="H32" i="6"/>
  <c r="I32" i="6"/>
  <c r="J32" i="6"/>
  <c r="H33" i="6"/>
  <c r="I33" i="6"/>
  <c r="J33" i="6"/>
  <c r="H34" i="6"/>
  <c r="I34" i="6"/>
  <c r="J34" i="6"/>
  <c r="H35" i="6"/>
  <c r="I35" i="6"/>
  <c r="J35" i="6"/>
  <c r="H36" i="6"/>
  <c r="I36" i="6"/>
  <c r="J36" i="6"/>
  <c r="H37" i="6"/>
  <c r="I37" i="6"/>
  <c r="J37" i="6"/>
  <c r="H38" i="6"/>
  <c r="I38" i="6"/>
  <c r="J38" i="6"/>
  <c r="K38" i="6"/>
  <c r="E38" i="6"/>
  <c r="D38" i="6"/>
  <c r="C38" i="6"/>
  <c r="B38" i="6"/>
  <c r="K37" i="6"/>
  <c r="E37" i="6"/>
  <c r="D37" i="6"/>
  <c r="C37" i="6"/>
  <c r="B37" i="6"/>
  <c r="K36" i="6"/>
  <c r="E36" i="6"/>
  <c r="D36" i="6"/>
  <c r="C36" i="6"/>
  <c r="B36" i="6"/>
  <c r="K35" i="6"/>
  <c r="E35" i="6"/>
  <c r="D35" i="6"/>
  <c r="C35" i="6"/>
  <c r="B35" i="6"/>
  <c r="K34" i="6"/>
  <c r="E34" i="6"/>
  <c r="D34" i="6"/>
  <c r="C34" i="6"/>
  <c r="B34" i="6"/>
  <c r="K33" i="6"/>
  <c r="E33" i="6"/>
  <c r="D33" i="6"/>
  <c r="C33" i="6"/>
  <c r="B33" i="6"/>
  <c r="K32" i="6"/>
  <c r="E32" i="6"/>
  <c r="D32" i="6"/>
  <c r="C32" i="6"/>
  <c r="B32" i="6"/>
  <c r="K31" i="6"/>
  <c r="E31" i="6"/>
  <c r="D31" i="6"/>
  <c r="C31" i="6"/>
  <c r="B31" i="6"/>
  <c r="K30" i="6"/>
  <c r="E30" i="6"/>
  <c r="D30" i="6"/>
  <c r="C30" i="6"/>
  <c r="B30" i="6"/>
  <c r="K29" i="6"/>
  <c r="E29" i="6"/>
  <c r="D29" i="6"/>
  <c r="C29" i="6"/>
  <c r="B29" i="6"/>
  <c r="K28" i="6"/>
  <c r="E28" i="6"/>
  <c r="D28" i="6"/>
  <c r="C28" i="6"/>
  <c r="B28" i="6"/>
  <c r="K27" i="6"/>
  <c r="E27" i="6"/>
  <c r="D27" i="6"/>
  <c r="C27" i="6"/>
  <c r="B27" i="6"/>
  <c r="K26" i="6"/>
  <c r="E26" i="6"/>
  <c r="D26" i="6"/>
  <c r="C26" i="6"/>
  <c r="B26" i="6"/>
  <c r="K25" i="6"/>
  <c r="E25" i="6"/>
  <c r="D25" i="6"/>
  <c r="C25" i="6"/>
  <c r="B25" i="6"/>
  <c r="K24" i="6"/>
  <c r="E24" i="6"/>
  <c r="D24" i="6"/>
  <c r="C24" i="6"/>
  <c r="B24" i="6"/>
  <c r="K23" i="6"/>
  <c r="G6" i="2"/>
  <c r="H6" i="2"/>
  <c r="I6" i="2"/>
  <c r="J6" i="2"/>
  <c r="E23" i="6"/>
  <c r="D23" i="6"/>
  <c r="C23" i="6"/>
  <c r="B23" i="6"/>
  <c r="K22" i="6"/>
  <c r="G4" i="2"/>
  <c r="H4" i="2"/>
  <c r="I4" i="2"/>
  <c r="J4" i="2"/>
  <c r="E22" i="6"/>
  <c r="D22" i="6"/>
  <c r="C22" i="6"/>
  <c r="B22" i="6"/>
  <c r="K21" i="6"/>
  <c r="G5" i="2"/>
  <c r="H5" i="2"/>
  <c r="I5" i="2"/>
  <c r="J5" i="2"/>
  <c r="E21" i="6"/>
  <c r="D21" i="6"/>
  <c r="C21" i="6"/>
  <c r="B21" i="6"/>
  <c r="A5" i="6"/>
  <c r="A6" i="6"/>
  <c r="A7" i="6"/>
  <c r="A8" i="6"/>
  <c r="A9" i="6"/>
  <c r="A10" i="6"/>
  <c r="A11" i="6"/>
  <c r="G4" i="5"/>
  <c r="G5" i="5"/>
  <c r="G6" i="5"/>
  <c r="G7" i="5"/>
  <c r="G8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G51" i="5"/>
  <c r="D50" i="5"/>
  <c r="A50" i="5"/>
  <c r="D49" i="5"/>
  <c r="A49" i="5"/>
  <c r="D48" i="5"/>
  <c r="A48" i="5"/>
  <c r="D47" i="5"/>
  <c r="A47" i="5"/>
  <c r="D46" i="5"/>
  <c r="A46" i="5"/>
  <c r="D45" i="5"/>
  <c r="A45" i="5"/>
  <c r="D44" i="5"/>
  <c r="A44" i="5"/>
  <c r="D43" i="5"/>
  <c r="A43" i="5"/>
  <c r="D42" i="5"/>
  <c r="A42" i="5"/>
  <c r="D41" i="5"/>
  <c r="A41" i="5"/>
  <c r="D40" i="5"/>
  <c r="A40" i="5"/>
  <c r="D39" i="5"/>
  <c r="A39" i="5"/>
  <c r="D38" i="5"/>
  <c r="A38" i="5"/>
  <c r="D37" i="5"/>
  <c r="A37" i="5"/>
  <c r="D36" i="5"/>
  <c r="A36" i="5"/>
  <c r="D35" i="5"/>
  <c r="A35" i="5"/>
  <c r="D34" i="5"/>
  <c r="A34" i="5"/>
  <c r="D33" i="5"/>
  <c r="A33" i="5"/>
  <c r="D32" i="5"/>
  <c r="A32" i="5"/>
  <c r="D31" i="5"/>
  <c r="A31" i="5"/>
  <c r="D30" i="5"/>
  <c r="A30" i="5"/>
  <c r="D29" i="5"/>
  <c r="A29" i="5"/>
  <c r="D28" i="5"/>
  <c r="A28" i="5"/>
  <c r="D27" i="5"/>
  <c r="A27" i="5"/>
  <c r="D26" i="5"/>
  <c r="A26" i="5"/>
  <c r="D25" i="5"/>
  <c r="A25" i="5"/>
  <c r="D24" i="5"/>
  <c r="A24" i="5"/>
  <c r="D23" i="5"/>
  <c r="A23" i="5"/>
  <c r="D22" i="5"/>
  <c r="A22" i="5"/>
  <c r="D21" i="5"/>
  <c r="A21" i="5"/>
  <c r="D20" i="5"/>
  <c r="A20" i="5"/>
  <c r="D19" i="5"/>
  <c r="A19" i="5"/>
  <c r="D18" i="5"/>
  <c r="A18" i="5"/>
  <c r="D17" i="5"/>
  <c r="A17" i="5"/>
  <c r="D16" i="5"/>
  <c r="A16" i="5"/>
  <c r="D15" i="5"/>
  <c r="A15" i="5"/>
  <c r="D14" i="5"/>
  <c r="A14" i="5"/>
  <c r="D13" i="5"/>
  <c r="A13" i="5"/>
  <c r="D12" i="5"/>
  <c r="A12" i="5"/>
  <c r="D11" i="5"/>
  <c r="A11" i="5"/>
  <c r="D10" i="5"/>
  <c r="A10" i="5"/>
  <c r="D9" i="5"/>
  <c r="D8" i="5"/>
  <c r="D7" i="5"/>
  <c r="D6" i="5"/>
  <c r="D5" i="5"/>
  <c r="D4" i="5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A60" i="4"/>
  <c r="D60" i="4"/>
  <c r="H60" i="4"/>
  <c r="G60" i="4"/>
  <c r="E60" i="4"/>
  <c r="C60" i="4"/>
  <c r="B60" i="4"/>
  <c r="A59" i="4"/>
  <c r="D59" i="4"/>
  <c r="H59" i="4"/>
  <c r="G59" i="4"/>
  <c r="E59" i="4"/>
  <c r="C59" i="4"/>
  <c r="B59" i="4"/>
  <c r="A58" i="4"/>
  <c r="D58" i="4"/>
  <c r="H58" i="4"/>
  <c r="G58" i="4"/>
  <c r="E58" i="4"/>
  <c r="C58" i="4"/>
  <c r="B58" i="4"/>
  <c r="A57" i="4"/>
  <c r="D57" i="4"/>
  <c r="H57" i="4"/>
  <c r="G57" i="4"/>
  <c r="E57" i="4"/>
  <c r="C57" i="4"/>
  <c r="B57" i="4"/>
  <c r="A56" i="4"/>
  <c r="D56" i="4"/>
  <c r="H56" i="4"/>
  <c r="G56" i="4"/>
  <c r="E56" i="4"/>
  <c r="C56" i="4"/>
  <c r="B56" i="4"/>
  <c r="A55" i="4"/>
  <c r="D55" i="4"/>
  <c r="H55" i="4"/>
  <c r="G55" i="4"/>
  <c r="E55" i="4"/>
  <c r="C55" i="4"/>
  <c r="B55" i="4"/>
  <c r="A54" i="4"/>
  <c r="D54" i="4"/>
  <c r="H54" i="4"/>
  <c r="G54" i="4"/>
  <c r="E54" i="4"/>
  <c r="C54" i="4"/>
  <c r="B54" i="4"/>
  <c r="A53" i="4"/>
  <c r="D53" i="4"/>
  <c r="H53" i="4"/>
  <c r="G53" i="4"/>
  <c r="E53" i="4"/>
  <c r="C53" i="4"/>
  <c r="B53" i="4"/>
  <c r="A52" i="4"/>
  <c r="D52" i="4"/>
  <c r="H52" i="4"/>
  <c r="G52" i="4"/>
  <c r="E52" i="4"/>
  <c r="C52" i="4"/>
  <c r="B52" i="4"/>
  <c r="A51" i="4"/>
  <c r="D51" i="4"/>
  <c r="H51" i="4"/>
  <c r="G51" i="4"/>
  <c r="E51" i="4"/>
  <c r="C51" i="4"/>
  <c r="B51" i="4"/>
  <c r="A50" i="4"/>
  <c r="D50" i="4"/>
  <c r="H50" i="4"/>
  <c r="G50" i="4"/>
  <c r="E50" i="4"/>
  <c r="C50" i="4"/>
  <c r="B50" i="4"/>
  <c r="A49" i="4"/>
  <c r="D49" i="4"/>
  <c r="H49" i="4"/>
  <c r="G49" i="4"/>
  <c r="E49" i="4"/>
  <c r="C49" i="4"/>
  <c r="B49" i="4"/>
  <c r="A48" i="4"/>
  <c r="D48" i="4"/>
  <c r="H48" i="4"/>
  <c r="G48" i="4"/>
  <c r="E48" i="4"/>
  <c r="C48" i="4"/>
  <c r="B48" i="4"/>
  <c r="A47" i="4"/>
  <c r="D47" i="4"/>
  <c r="H47" i="4"/>
  <c r="G47" i="4"/>
  <c r="E47" i="4"/>
  <c r="C47" i="4"/>
  <c r="B47" i="4"/>
  <c r="A46" i="4"/>
  <c r="D46" i="4"/>
  <c r="H46" i="4"/>
  <c r="G46" i="4"/>
  <c r="E46" i="4"/>
  <c r="C46" i="4"/>
  <c r="B46" i="4"/>
  <c r="A45" i="4"/>
  <c r="D45" i="4"/>
  <c r="H45" i="4"/>
  <c r="G45" i="4"/>
  <c r="E45" i="4"/>
  <c r="C45" i="4"/>
  <c r="B45" i="4"/>
  <c r="A44" i="4"/>
  <c r="D44" i="4"/>
  <c r="H44" i="4"/>
  <c r="G44" i="4"/>
  <c r="E44" i="4"/>
  <c r="C44" i="4"/>
  <c r="B44" i="4"/>
  <c r="A43" i="4"/>
  <c r="D43" i="4"/>
  <c r="H43" i="4"/>
  <c r="G43" i="4"/>
  <c r="E43" i="4"/>
  <c r="C43" i="4"/>
  <c r="B43" i="4"/>
  <c r="A42" i="4"/>
  <c r="D42" i="4"/>
  <c r="H42" i="4"/>
  <c r="G42" i="4"/>
  <c r="E42" i="4"/>
  <c r="C42" i="4"/>
  <c r="B42" i="4"/>
  <c r="A41" i="4"/>
  <c r="D41" i="4"/>
  <c r="H41" i="4"/>
  <c r="G41" i="4"/>
  <c r="E41" i="4"/>
  <c r="C41" i="4"/>
  <c r="B41" i="4"/>
  <c r="A40" i="4"/>
  <c r="D40" i="4"/>
  <c r="H40" i="4"/>
  <c r="G40" i="4"/>
  <c r="E40" i="4"/>
  <c r="C40" i="4"/>
  <c r="B40" i="4"/>
  <c r="A39" i="4"/>
  <c r="D39" i="4"/>
  <c r="H39" i="4"/>
  <c r="G39" i="4"/>
  <c r="E39" i="4"/>
  <c r="C39" i="4"/>
  <c r="B39" i="4"/>
  <c r="A38" i="4"/>
  <c r="D38" i="4"/>
  <c r="H38" i="4"/>
  <c r="G38" i="4"/>
  <c r="E38" i="4"/>
  <c r="C38" i="4"/>
  <c r="B38" i="4"/>
  <c r="A37" i="4"/>
  <c r="D37" i="4"/>
  <c r="H37" i="4"/>
  <c r="G37" i="4"/>
  <c r="E37" i="4"/>
  <c r="C37" i="4"/>
  <c r="B37" i="4"/>
  <c r="A36" i="4"/>
  <c r="D36" i="4"/>
  <c r="H36" i="4"/>
  <c r="G36" i="4"/>
  <c r="E36" i="4"/>
  <c r="C36" i="4"/>
  <c r="B36" i="4"/>
  <c r="A35" i="4"/>
  <c r="D35" i="4"/>
  <c r="H35" i="4"/>
  <c r="G35" i="4"/>
  <c r="E35" i="4"/>
  <c r="C35" i="4"/>
  <c r="B35" i="4"/>
  <c r="A34" i="4"/>
  <c r="D34" i="4"/>
  <c r="H34" i="4"/>
  <c r="G34" i="4"/>
  <c r="E34" i="4"/>
  <c r="C34" i="4"/>
  <c r="B34" i="4"/>
  <c r="A33" i="4"/>
  <c r="D33" i="4"/>
  <c r="H33" i="4"/>
  <c r="G33" i="4"/>
  <c r="E33" i="4"/>
  <c r="C33" i="4"/>
  <c r="B33" i="4"/>
  <c r="A32" i="4"/>
  <c r="D32" i="4"/>
  <c r="H32" i="4"/>
  <c r="G32" i="4"/>
  <c r="E32" i="4"/>
  <c r="C32" i="4"/>
  <c r="B32" i="4"/>
  <c r="A31" i="4"/>
  <c r="D31" i="4"/>
  <c r="H31" i="4"/>
  <c r="G31" i="4"/>
  <c r="E31" i="4"/>
  <c r="C31" i="4"/>
  <c r="B31" i="4"/>
  <c r="A30" i="4"/>
  <c r="D30" i="4"/>
  <c r="H30" i="4"/>
  <c r="G30" i="4"/>
  <c r="E30" i="4"/>
  <c r="C30" i="4"/>
  <c r="B30" i="4"/>
  <c r="A29" i="4"/>
  <c r="D29" i="4"/>
  <c r="H29" i="4"/>
  <c r="G29" i="4"/>
  <c r="E29" i="4"/>
  <c r="C29" i="4"/>
  <c r="B29" i="4"/>
  <c r="A28" i="4"/>
  <c r="D28" i="4"/>
  <c r="H28" i="4"/>
  <c r="G28" i="4"/>
  <c r="E28" i="4"/>
  <c r="C28" i="4"/>
  <c r="B28" i="4"/>
  <c r="A27" i="4"/>
  <c r="D27" i="4"/>
  <c r="H27" i="4"/>
  <c r="G27" i="4"/>
  <c r="E27" i="4"/>
  <c r="C27" i="4"/>
  <c r="B27" i="4"/>
  <c r="A26" i="4"/>
  <c r="D26" i="4"/>
  <c r="H26" i="4"/>
  <c r="G26" i="4"/>
  <c r="E26" i="4"/>
  <c r="C26" i="4"/>
  <c r="B26" i="4"/>
  <c r="A25" i="4"/>
  <c r="D25" i="4"/>
  <c r="H25" i="4"/>
  <c r="G25" i="4"/>
  <c r="E25" i="4"/>
  <c r="C25" i="4"/>
  <c r="B25" i="4"/>
  <c r="A24" i="4"/>
  <c r="D24" i="4"/>
  <c r="H24" i="4"/>
  <c r="G24" i="4"/>
  <c r="E24" i="4"/>
  <c r="C24" i="4"/>
  <c r="B24" i="4"/>
  <c r="A23" i="4"/>
  <c r="D23" i="4"/>
  <c r="H23" i="4"/>
  <c r="G23" i="4"/>
  <c r="E23" i="4"/>
  <c r="C23" i="4"/>
  <c r="B23" i="4"/>
  <c r="A22" i="4"/>
  <c r="D22" i="4"/>
  <c r="H22" i="4"/>
  <c r="G22" i="4"/>
  <c r="E22" i="4"/>
  <c r="C22" i="4"/>
  <c r="B22" i="4"/>
  <c r="A21" i="4"/>
  <c r="D21" i="4"/>
  <c r="H21" i="4"/>
  <c r="G21" i="4"/>
  <c r="E21" i="4"/>
  <c r="C21" i="4"/>
  <c r="B21" i="4"/>
  <c r="A20" i="4"/>
  <c r="D20" i="4"/>
  <c r="H20" i="4"/>
  <c r="G20" i="4"/>
  <c r="E20" i="4"/>
  <c r="C20" i="4"/>
  <c r="B20" i="4"/>
  <c r="A19" i="4"/>
  <c r="D19" i="4"/>
  <c r="H19" i="4"/>
  <c r="G19" i="4"/>
  <c r="E19" i="4"/>
  <c r="C19" i="4"/>
  <c r="B19" i="4"/>
  <c r="A18" i="4"/>
  <c r="D18" i="4"/>
  <c r="H18" i="4"/>
  <c r="G18" i="4"/>
  <c r="E18" i="4"/>
  <c r="C18" i="4"/>
  <c r="B18" i="4"/>
  <c r="A17" i="4"/>
  <c r="D17" i="4"/>
  <c r="H17" i="4"/>
  <c r="G17" i="4"/>
  <c r="E17" i="4"/>
  <c r="C17" i="4"/>
  <c r="B17" i="4"/>
  <c r="A16" i="4"/>
  <c r="D16" i="4"/>
  <c r="H16" i="4"/>
  <c r="G16" i="4"/>
  <c r="E16" i="4"/>
  <c r="C16" i="4"/>
  <c r="B16" i="4"/>
  <c r="A15" i="4"/>
  <c r="D15" i="4"/>
  <c r="H15" i="4"/>
  <c r="G15" i="4"/>
  <c r="E15" i="4"/>
  <c r="C15" i="4"/>
  <c r="B15" i="4"/>
  <c r="A14" i="4"/>
  <c r="D14" i="4"/>
  <c r="H14" i="4"/>
  <c r="G14" i="4"/>
  <c r="E14" i="4"/>
  <c r="C14" i="4"/>
  <c r="B14" i="4"/>
  <c r="A13" i="4"/>
  <c r="D13" i="4"/>
  <c r="H13" i="4"/>
  <c r="G13" i="4"/>
  <c r="E13" i="4"/>
  <c r="C13" i="4"/>
  <c r="B13" i="4"/>
  <c r="A12" i="4"/>
  <c r="D12" i="4"/>
  <c r="H12" i="4"/>
  <c r="G12" i="4"/>
  <c r="E12" i="4"/>
  <c r="C12" i="4"/>
  <c r="B12" i="4"/>
  <c r="A11" i="4"/>
  <c r="D11" i="4"/>
  <c r="H11" i="4"/>
  <c r="G11" i="4"/>
  <c r="E11" i="4"/>
  <c r="C11" i="4"/>
  <c r="B11" i="4"/>
  <c r="A10" i="4"/>
  <c r="D10" i="4"/>
  <c r="H10" i="4"/>
  <c r="G10" i="4"/>
  <c r="E10" i="4"/>
  <c r="C10" i="4"/>
  <c r="B10" i="4"/>
  <c r="A9" i="4"/>
  <c r="D9" i="4"/>
  <c r="H9" i="4"/>
  <c r="G9" i="4"/>
  <c r="E9" i="4"/>
  <c r="C9" i="4"/>
  <c r="B9" i="4"/>
  <c r="A8" i="4"/>
  <c r="D8" i="4"/>
  <c r="H8" i="4"/>
  <c r="G8" i="4"/>
  <c r="E8" i="4"/>
  <c r="C8" i="4"/>
  <c r="B8" i="4"/>
  <c r="A7" i="4"/>
  <c r="D7" i="4"/>
  <c r="H7" i="4"/>
  <c r="G7" i="4"/>
  <c r="E7" i="4"/>
  <c r="C7" i="4"/>
  <c r="B7" i="4"/>
  <c r="A6" i="4"/>
  <c r="D6" i="4"/>
  <c r="H6" i="4"/>
  <c r="G6" i="4"/>
  <c r="E6" i="4"/>
  <c r="C6" i="4"/>
  <c r="B6" i="4"/>
  <c r="A5" i="4"/>
  <c r="D5" i="4"/>
  <c r="H5" i="4"/>
  <c r="G5" i="4"/>
  <c r="E5" i="4"/>
  <c r="C5" i="4"/>
  <c r="B5" i="4"/>
  <c r="F4" i="3"/>
  <c r="I4" i="3"/>
  <c r="F5" i="3"/>
  <c r="I5" i="3"/>
  <c r="F6" i="3"/>
  <c r="I6" i="3"/>
  <c r="F7" i="3"/>
  <c r="I7" i="3"/>
  <c r="F8" i="3"/>
  <c r="I8" i="3"/>
  <c r="F9" i="3"/>
  <c r="I9" i="3"/>
  <c r="F10" i="3"/>
  <c r="I10" i="3"/>
  <c r="F11" i="3"/>
  <c r="I11" i="3"/>
  <c r="F12" i="3"/>
  <c r="I12" i="3"/>
  <c r="F13" i="3"/>
  <c r="I13" i="3"/>
  <c r="F14" i="3"/>
  <c r="I14" i="3"/>
  <c r="F15" i="3"/>
  <c r="I15" i="3"/>
  <c r="F16" i="3"/>
  <c r="I16" i="3"/>
  <c r="F17" i="3"/>
  <c r="I17" i="3"/>
  <c r="F18" i="3"/>
  <c r="I18" i="3"/>
  <c r="F19" i="3"/>
  <c r="I19" i="3"/>
  <c r="F20" i="3"/>
  <c r="I20" i="3"/>
  <c r="F21" i="3"/>
  <c r="I21" i="3"/>
  <c r="I24" i="3"/>
  <c r="F24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120" i="2"/>
  <c r="J120" i="2"/>
  <c r="I120" i="2"/>
  <c r="G120" i="2"/>
  <c r="E120" i="2"/>
  <c r="C120" i="2"/>
  <c r="B120" i="2"/>
  <c r="A120" i="2"/>
  <c r="H119" i="2"/>
  <c r="J119" i="2"/>
  <c r="I119" i="2"/>
  <c r="G119" i="2"/>
  <c r="E119" i="2"/>
  <c r="C119" i="2"/>
  <c r="B119" i="2"/>
  <c r="A119" i="2"/>
  <c r="H118" i="2"/>
  <c r="J118" i="2"/>
  <c r="I118" i="2"/>
  <c r="G118" i="2"/>
  <c r="E118" i="2"/>
  <c r="C118" i="2"/>
  <c r="B118" i="2"/>
  <c r="A118" i="2"/>
  <c r="H117" i="2"/>
  <c r="J117" i="2"/>
  <c r="I117" i="2"/>
  <c r="G117" i="2"/>
  <c r="E117" i="2"/>
  <c r="C117" i="2"/>
  <c r="B117" i="2"/>
  <c r="A117" i="2"/>
  <c r="H116" i="2"/>
  <c r="J116" i="2"/>
  <c r="I116" i="2"/>
  <c r="G116" i="2"/>
  <c r="E116" i="2"/>
  <c r="C116" i="2"/>
  <c r="B116" i="2"/>
  <c r="A116" i="2"/>
  <c r="H115" i="2"/>
  <c r="J115" i="2"/>
  <c r="I115" i="2"/>
  <c r="G115" i="2"/>
  <c r="E115" i="2"/>
  <c r="C115" i="2"/>
  <c r="B115" i="2"/>
  <c r="A115" i="2"/>
  <c r="H114" i="2"/>
  <c r="J114" i="2"/>
  <c r="I114" i="2"/>
  <c r="G114" i="2"/>
  <c r="E114" i="2"/>
  <c r="C114" i="2"/>
  <c r="B114" i="2"/>
  <c r="A114" i="2"/>
  <c r="H113" i="2"/>
  <c r="J113" i="2"/>
  <c r="I113" i="2"/>
  <c r="G113" i="2"/>
  <c r="E113" i="2"/>
  <c r="C113" i="2"/>
  <c r="B113" i="2"/>
  <c r="A113" i="2"/>
  <c r="H112" i="2"/>
  <c r="J112" i="2"/>
  <c r="I112" i="2"/>
  <c r="G112" i="2"/>
  <c r="E112" i="2"/>
  <c r="C112" i="2"/>
  <c r="B112" i="2"/>
  <c r="A112" i="2"/>
  <c r="H111" i="2"/>
  <c r="J111" i="2"/>
  <c r="I111" i="2"/>
  <c r="G111" i="2"/>
  <c r="E111" i="2"/>
  <c r="C111" i="2"/>
  <c r="B111" i="2"/>
  <c r="A111" i="2"/>
  <c r="H110" i="2"/>
  <c r="J110" i="2"/>
  <c r="I110" i="2"/>
  <c r="G110" i="2"/>
  <c r="E110" i="2"/>
  <c r="C110" i="2"/>
  <c r="B110" i="2"/>
  <c r="A110" i="2"/>
  <c r="H109" i="2"/>
  <c r="J109" i="2"/>
  <c r="I109" i="2"/>
  <c r="G109" i="2"/>
  <c r="E109" i="2"/>
  <c r="C109" i="2"/>
  <c r="B109" i="2"/>
  <c r="A109" i="2"/>
  <c r="H108" i="2"/>
  <c r="J108" i="2"/>
  <c r="I108" i="2"/>
  <c r="G108" i="2"/>
  <c r="E108" i="2"/>
  <c r="C108" i="2"/>
  <c r="B108" i="2"/>
  <c r="A108" i="2"/>
  <c r="H107" i="2"/>
  <c r="J107" i="2"/>
  <c r="I107" i="2"/>
  <c r="G107" i="2"/>
  <c r="E107" i="2"/>
  <c r="C107" i="2"/>
  <c r="B107" i="2"/>
  <c r="A107" i="2"/>
  <c r="H106" i="2"/>
  <c r="J106" i="2"/>
  <c r="I106" i="2"/>
  <c r="G106" i="2"/>
  <c r="E106" i="2"/>
  <c r="C106" i="2"/>
  <c r="B106" i="2"/>
  <c r="A106" i="2"/>
  <c r="H105" i="2"/>
  <c r="J105" i="2"/>
  <c r="I105" i="2"/>
  <c r="G105" i="2"/>
  <c r="E105" i="2"/>
  <c r="C105" i="2"/>
  <c r="B105" i="2"/>
  <c r="A105" i="2"/>
  <c r="H104" i="2"/>
  <c r="J104" i="2"/>
  <c r="I104" i="2"/>
  <c r="G104" i="2"/>
  <c r="E104" i="2"/>
  <c r="C104" i="2"/>
  <c r="B104" i="2"/>
  <c r="A104" i="2"/>
  <c r="H103" i="2"/>
  <c r="J103" i="2"/>
  <c r="I103" i="2"/>
  <c r="G103" i="2"/>
  <c r="E103" i="2"/>
  <c r="C103" i="2"/>
  <c r="B103" i="2"/>
  <c r="A103" i="2"/>
  <c r="H102" i="2"/>
  <c r="J102" i="2"/>
  <c r="I102" i="2"/>
  <c r="G102" i="2"/>
  <c r="E102" i="2"/>
  <c r="C102" i="2"/>
  <c r="B102" i="2"/>
  <c r="A102" i="2"/>
  <c r="H101" i="2"/>
  <c r="J101" i="2"/>
  <c r="I101" i="2"/>
  <c r="G101" i="2"/>
  <c r="E101" i="2"/>
  <c r="C101" i="2"/>
  <c r="B101" i="2"/>
  <c r="A101" i="2"/>
  <c r="H100" i="2"/>
  <c r="J100" i="2"/>
  <c r="I100" i="2"/>
  <c r="G100" i="2"/>
  <c r="E100" i="2"/>
  <c r="C100" i="2"/>
  <c r="B100" i="2"/>
  <c r="A100" i="2"/>
  <c r="H99" i="2"/>
  <c r="J99" i="2"/>
  <c r="I99" i="2"/>
  <c r="G99" i="2"/>
  <c r="E99" i="2"/>
  <c r="C99" i="2"/>
  <c r="B99" i="2"/>
  <c r="A99" i="2"/>
  <c r="H98" i="2"/>
  <c r="J98" i="2"/>
  <c r="I98" i="2"/>
  <c r="G98" i="2"/>
  <c r="E98" i="2"/>
  <c r="C98" i="2"/>
  <c r="B98" i="2"/>
  <c r="A98" i="2"/>
  <c r="H97" i="2"/>
  <c r="J97" i="2"/>
  <c r="I97" i="2"/>
  <c r="G97" i="2"/>
  <c r="E97" i="2"/>
  <c r="C97" i="2"/>
  <c r="B97" i="2"/>
  <c r="A97" i="2"/>
  <c r="H96" i="2"/>
  <c r="J96" i="2"/>
  <c r="I96" i="2"/>
  <c r="G96" i="2"/>
  <c r="E96" i="2"/>
  <c r="C96" i="2"/>
  <c r="B96" i="2"/>
  <c r="A96" i="2"/>
  <c r="H95" i="2"/>
  <c r="J95" i="2"/>
  <c r="I95" i="2"/>
  <c r="G95" i="2"/>
  <c r="E95" i="2"/>
  <c r="C95" i="2"/>
  <c r="B95" i="2"/>
  <c r="A95" i="2"/>
  <c r="H94" i="2"/>
  <c r="J94" i="2"/>
  <c r="I94" i="2"/>
  <c r="G94" i="2"/>
  <c r="E94" i="2"/>
  <c r="C94" i="2"/>
  <c r="B94" i="2"/>
  <c r="A94" i="2"/>
  <c r="H93" i="2"/>
  <c r="J93" i="2"/>
  <c r="I93" i="2"/>
  <c r="G93" i="2"/>
  <c r="E93" i="2"/>
  <c r="C93" i="2"/>
  <c r="B93" i="2"/>
  <c r="A93" i="2"/>
  <c r="H92" i="2"/>
  <c r="J92" i="2"/>
  <c r="I92" i="2"/>
  <c r="G92" i="2"/>
  <c r="E92" i="2"/>
  <c r="C92" i="2"/>
  <c r="B92" i="2"/>
  <c r="A92" i="2"/>
  <c r="H91" i="2"/>
  <c r="J91" i="2"/>
  <c r="I91" i="2"/>
  <c r="G91" i="2"/>
  <c r="E91" i="2"/>
  <c r="C91" i="2"/>
  <c r="B91" i="2"/>
  <c r="A91" i="2"/>
  <c r="H90" i="2"/>
  <c r="J90" i="2"/>
  <c r="I90" i="2"/>
  <c r="G90" i="2"/>
  <c r="E90" i="2"/>
  <c r="C90" i="2"/>
  <c r="B90" i="2"/>
  <c r="A90" i="2"/>
  <c r="H89" i="2"/>
  <c r="J89" i="2"/>
  <c r="I89" i="2"/>
  <c r="G89" i="2"/>
  <c r="E89" i="2"/>
  <c r="C89" i="2"/>
  <c r="B89" i="2"/>
  <c r="A89" i="2"/>
  <c r="H88" i="2"/>
  <c r="J88" i="2"/>
  <c r="I88" i="2"/>
  <c r="G88" i="2"/>
  <c r="E88" i="2"/>
  <c r="C88" i="2"/>
  <c r="B88" i="2"/>
  <c r="A88" i="2"/>
  <c r="H87" i="2"/>
  <c r="J87" i="2"/>
  <c r="I87" i="2"/>
  <c r="G87" i="2"/>
  <c r="E87" i="2"/>
  <c r="C87" i="2"/>
  <c r="B87" i="2"/>
  <c r="A87" i="2"/>
  <c r="H86" i="2"/>
  <c r="J86" i="2"/>
  <c r="I86" i="2"/>
  <c r="G86" i="2"/>
  <c r="E86" i="2"/>
  <c r="C86" i="2"/>
  <c r="B86" i="2"/>
  <c r="A86" i="2"/>
  <c r="H85" i="2"/>
  <c r="J85" i="2"/>
  <c r="I85" i="2"/>
  <c r="G85" i="2"/>
  <c r="E85" i="2"/>
  <c r="C85" i="2"/>
  <c r="B85" i="2"/>
  <c r="A85" i="2"/>
  <c r="H84" i="2"/>
  <c r="J84" i="2"/>
  <c r="I84" i="2"/>
  <c r="G84" i="2"/>
  <c r="E84" i="2"/>
  <c r="C84" i="2"/>
  <c r="B84" i="2"/>
  <c r="A84" i="2"/>
  <c r="H83" i="2"/>
  <c r="J83" i="2"/>
  <c r="I83" i="2"/>
  <c r="G83" i="2"/>
  <c r="E83" i="2"/>
  <c r="C83" i="2"/>
  <c r="B83" i="2"/>
  <c r="A83" i="2"/>
  <c r="H82" i="2"/>
  <c r="J82" i="2"/>
  <c r="I82" i="2"/>
  <c r="G82" i="2"/>
  <c r="E82" i="2"/>
  <c r="C82" i="2"/>
  <c r="B82" i="2"/>
  <c r="A82" i="2"/>
  <c r="H81" i="2"/>
  <c r="J81" i="2"/>
  <c r="I81" i="2"/>
  <c r="G81" i="2"/>
  <c r="E81" i="2"/>
  <c r="C81" i="2"/>
  <c r="B81" i="2"/>
  <c r="A81" i="2"/>
  <c r="H80" i="2"/>
  <c r="J80" i="2"/>
  <c r="I80" i="2"/>
  <c r="G80" i="2"/>
  <c r="E80" i="2"/>
  <c r="C80" i="2"/>
  <c r="B80" i="2"/>
  <c r="A80" i="2"/>
  <c r="H79" i="2"/>
  <c r="J79" i="2"/>
  <c r="I79" i="2"/>
  <c r="G79" i="2"/>
  <c r="E79" i="2"/>
  <c r="C79" i="2"/>
  <c r="B79" i="2"/>
  <c r="A79" i="2"/>
  <c r="H78" i="2"/>
  <c r="J78" i="2"/>
  <c r="I78" i="2"/>
  <c r="G78" i="2"/>
  <c r="E78" i="2"/>
  <c r="C78" i="2"/>
  <c r="B78" i="2"/>
  <c r="A78" i="2"/>
  <c r="H77" i="2"/>
  <c r="J77" i="2"/>
  <c r="I77" i="2"/>
  <c r="G77" i="2"/>
  <c r="E77" i="2"/>
  <c r="C77" i="2"/>
  <c r="B77" i="2"/>
  <c r="A77" i="2"/>
  <c r="H76" i="2"/>
  <c r="J76" i="2"/>
  <c r="I76" i="2"/>
  <c r="G76" i="2"/>
  <c r="E76" i="2"/>
  <c r="C76" i="2"/>
  <c r="B76" i="2"/>
  <c r="A76" i="2"/>
  <c r="H75" i="2"/>
  <c r="J75" i="2"/>
  <c r="I75" i="2"/>
  <c r="G75" i="2"/>
  <c r="E75" i="2"/>
  <c r="C75" i="2"/>
  <c r="B75" i="2"/>
  <c r="A75" i="2"/>
  <c r="H74" i="2"/>
  <c r="J74" i="2"/>
  <c r="I74" i="2"/>
  <c r="G74" i="2"/>
  <c r="E74" i="2"/>
  <c r="C74" i="2"/>
  <c r="B74" i="2"/>
  <c r="A74" i="2"/>
  <c r="H73" i="2"/>
  <c r="J73" i="2"/>
  <c r="I73" i="2"/>
  <c r="G73" i="2"/>
  <c r="E73" i="2"/>
  <c r="C73" i="2"/>
  <c r="B73" i="2"/>
  <c r="A73" i="2"/>
  <c r="H72" i="2"/>
  <c r="J72" i="2"/>
  <c r="I72" i="2"/>
  <c r="G72" i="2"/>
  <c r="E72" i="2"/>
  <c r="C72" i="2"/>
  <c r="B72" i="2"/>
  <c r="A72" i="2"/>
  <c r="H71" i="2"/>
  <c r="J71" i="2"/>
  <c r="I71" i="2"/>
  <c r="G71" i="2"/>
  <c r="E71" i="2"/>
  <c r="C71" i="2"/>
  <c r="B71" i="2"/>
  <c r="A71" i="2"/>
  <c r="H70" i="2"/>
  <c r="J70" i="2"/>
  <c r="I70" i="2"/>
  <c r="G70" i="2"/>
  <c r="E70" i="2"/>
  <c r="C70" i="2"/>
  <c r="B70" i="2"/>
  <c r="A70" i="2"/>
  <c r="H69" i="2"/>
  <c r="J69" i="2"/>
  <c r="I69" i="2"/>
  <c r="G69" i="2"/>
  <c r="E69" i="2"/>
  <c r="C69" i="2"/>
  <c r="B69" i="2"/>
  <c r="A69" i="2"/>
  <c r="H68" i="2"/>
  <c r="J68" i="2"/>
  <c r="I68" i="2"/>
  <c r="G68" i="2"/>
  <c r="E68" i="2"/>
  <c r="C68" i="2"/>
  <c r="B68" i="2"/>
  <c r="A68" i="2"/>
  <c r="H67" i="2"/>
  <c r="J67" i="2"/>
  <c r="I67" i="2"/>
  <c r="G67" i="2"/>
  <c r="E67" i="2"/>
  <c r="C67" i="2"/>
  <c r="B67" i="2"/>
  <c r="A67" i="2"/>
  <c r="H66" i="2"/>
  <c r="J66" i="2"/>
  <c r="I66" i="2"/>
  <c r="G66" i="2"/>
  <c r="E66" i="2"/>
  <c r="C66" i="2"/>
  <c r="B66" i="2"/>
  <c r="A66" i="2"/>
  <c r="H65" i="2"/>
  <c r="J65" i="2"/>
  <c r="I65" i="2"/>
  <c r="G65" i="2"/>
  <c r="E65" i="2"/>
  <c r="C65" i="2"/>
  <c r="B65" i="2"/>
  <c r="A65" i="2"/>
  <c r="H64" i="2"/>
  <c r="J64" i="2"/>
  <c r="I64" i="2"/>
  <c r="G64" i="2"/>
  <c r="E64" i="2"/>
  <c r="C64" i="2"/>
  <c r="B64" i="2"/>
  <c r="A64" i="2"/>
  <c r="H63" i="2"/>
  <c r="J63" i="2"/>
  <c r="I63" i="2"/>
  <c r="G63" i="2"/>
  <c r="E63" i="2"/>
  <c r="C63" i="2"/>
  <c r="B63" i="2"/>
  <c r="A63" i="2"/>
  <c r="H62" i="2"/>
  <c r="J62" i="2"/>
  <c r="I62" i="2"/>
  <c r="G62" i="2"/>
  <c r="E62" i="2"/>
  <c r="C62" i="2"/>
  <c r="B62" i="2"/>
  <c r="A62" i="2"/>
  <c r="H61" i="2"/>
  <c r="J61" i="2"/>
  <c r="I61" i="2"/>
  <c r="G61" i="2"/>
  <c r="E61" i="2"/>
  <c r="C61" i="2"/>
  <c r="B61" i="2"/>
  <c r="A61" i="2"/>
  <c r="H60" i="2"/>
  <c r="J60" i="2"/>
  <c r="I60" i="2"/>
  <c r="G60" i="2"/>
  <c r="E60" i="2"/>
  <c r="C60" i="2"/>
  <c r="B60" i="2"/>
  <c r="A60" i="2"/>
  <c r="H59" i="2"/>
  <c r="J59" i="2"/>
  <c r="I59" i="2"/>
  <c r="G59" i="2"/>
  <c r="E59" i="2"/>
  <c r="C59" i="2"/>
  <c r="B59" i="2"/>
  <c r="A59" i="2"/>
  <c r="H58" i="2"/>
  <c r="J58" i="2"/>
  <c r="I58" i="2"/>
  <c r="G58" i="2"/>
  <c r="E58" i="2"/>
  <c r="C58" i="2"/>
  <c r="B58" i="2"/>
  <c r="A58" i="2"/>
  <c r="H57" i="2"/>
  <c r="J57" i="2"/>
  <c r="I57" i="2"/>
  <c r="G57" i="2"/>
  <c r="E57" i="2"/>
  <c r="C57" i="2"/>
  <c r="B57" i="2"/>
  <c r="A57" i="2"/>
  <c r="H56" i="2"/>
  <c r="J56" i="2"/>
  <c r="I56" i="2"/>
  <c r="G56" i="2"/>
  <c r="E56" i="2"/>
  <c r="C56" i="2"/>
  <c r="B56" i="2"/>
  <c r="A56" i="2"/>
  <c r="H55" i="2"/>
  <c r="J55" i="2"/>
  <c r="I55" i="2"/>
  <c r="G55" i="2"/>
  <c r="E55" i="2"/>
  <c r="C55" i="2"/>
  <c r="B55" i="2"/>
  <c r="A55" i="2"/>
  <c r="H54" i="2"/>
  <c r="J54" i="2"/>
  <c r="I54" i="2"/>
  <c r="G54" i="2"/>
  <c r="E54" i="2"/>
  <c r="C54" i="2"/>
  <c r="B54" i="2"/>
  <c r="A54" i="2"/>
  <c r="H53" i="2"/>
  <c r="J53" i="2"/>
  <c r="I53" i="2"/>
  <c r="G53" i="2"/>
  <c r="E53" i="2"/>
  <c r="C53" i="2"/>
  <c r="B53" i="2"/>
  <c r="A53" i="2"/>
  <c r="H52" i="2"/>
  <c r="J52" i="2"/>
  <c r="I52" i="2"/>
  <c r="G52" i="2"/>
  <c r="E52" i="2"/>
  <c r="C52" i="2"/>
  <c r="B52" i="2"/>
  <c r="A52" i="2"/>
  <c r="H51" i="2"/>
  <c r="J51" i="2"/>
  <c r="I51" i="2"/>
  <c r="G51" i="2"/>
  <c r="E51" i="2"/>
  <c r="C51" i="2"/>
  <c r="B51" i="2"/>
  <c r="A51" i="2"/>
  <c r="H50" i="2"/>
  <c r="J50" i="2"/>
  <c r="I50" i="2"/>
  <c r="G50" i="2"/>
  <c r="E50" i="2"/>
  <c r="C50" i="2"/>
  <c r="B50" i="2"/>
  <c r="A50" i="2"/>
  <c r="H49" i="2"/>
  <c r="J49" i="2"/>
  <c r="I49" i="2"/>
  <c r="G49" i="2"/>
  <c r="E49" i="2"/>
  <c r="C49" i="2"/>
  <c r="B49" i="2"/>
  <c r="A49" i="2"/>
  <c r="H48" i="2"/>
  <c r="J48" i="2"/>
  <c r="I48" i="2"/>
  <c r="G48" i="2"/>
  <c r="E48" i="2"/>
  <c r="C48" i="2"/>
  <c r="B48" i="2"/>
  <c r="A48" i="2"/>
  <c r="H47" i="2"/>
  <c r="J47" i="2"/>
  <c r="I47" i="2"/>
  <c r="G47" i="2"/>
  <c r="E47" i="2"/>
  <c r="C47" i="2"/>
  <c r="B47" i="2"/>
  <c r="A47" i="2"/>
  <c r="H46" i="2"/>
  <c r="J46" i="2"/>
  <c r="I46" i="2"/>
  <c r="G46" i="2"/>
  <c r="E46" i="2"/>
  <c r="C46" i="2"/>
  <c r="B46" i="2"/>
  <c r="A46" i="2"/>
  <c r="H45" i="2"/>
  <c r="J45" i="2"/>
  <c r="I45" i="2"/>
  <c r="G45" i="2"/>
  <c r="E45" i="2"/>
  <c r="C45" i="2"/>
  <c r="B45" i="2"/>
  <c r="A45" i="2"/>
  <c r="H44" i="2"/>
  <c r="J44" i="2"/>
  <c r="I44" i="2"/>
  <c r="G44" i="2"/>
  <c r="E44" i="2"/>
  <c r="C44" i="2"/>
  <c r="B44" i="2"/>
  <c r="A44" i="2"/>
  <c r="H43" i="2"/>
  <c r="J43" i="2"/>
  <c r="I43" i="2"/>
  <c r="G43" i="2"/>
  <c r="E43" i="2"/>
  <c r="C43" i="2"/>
  <c r="B43" i="2"/>
  <c r="A43" i="2"/>
  <c r="H42" i="2"/>
  <c r="J42" i="2"/>
  <c r="I42" i="2"/>
  <c r="G42" i="2"/>
  <c r="E42" i="2"/>
  <c r="C42" i="2"/>
  <c r="B42" i="2"/>
  <c r="A42" i="2"/>
  <c r="H41" i="2"/>
  <c r="J41" i="2"/>
  <c r="I41" i="2"/>
  <c r="G41" i="2"/>
  <c r="E41" i="2"/>
  <c r="C41" i="2"/>
  <c r="B41" i="2"/>
  <c r="A41" i="2"/>
  <c r="H40" i="2"/>
  <c r="J40" i="2"/>
  <c r="I40" i="2"/>
  <c r="G40" i="2"/>
  <c r="E40" i="2"/>
  <c r="C40" i="2"/>
  <c r="B40" i="2"/>
  <c r="A40" i="2"/>
  <c r="H39" i="2"/>
  <c r="J39" i="2"/>
  <c r="I39" i="2"/>
  <c r="G39" i="2"/>
  <c r="E39" i="2"/>
  <c r="C39" i="2"/>
  <c r="B39" i="2"/>
  <c r="A39" i="2"/>
  <c r="H38" i="2"/>
  <c r="J38" i="2"/>
  <c r="I38" i="2"/>
  <c r="G38" i="2"/>
  <c r="E38" i="2"/>
  <c r="C38" i="2"/>
  <c r="B38" i="2"/>
  <c r="A38" i="2"/>
  <c r="H37" i="2"/>
  <c r="J37" i="2"/>
  <c r="I37" i="2"/>
  <c r="G37" i="2"/>
  <c r="E37" i="2"/>
  <c r="C37" i="2"/>
  <c r="B37" i="2"/>
  <c r="A37" i="2"/>
  <c r="H36" i="2"/>
  <c r="J36" i="2"/>
  <c r="I36" i="2"/>
  <c r="G36" i="2"/>
  <c r="E36" i="2"/>
  <c r="C36" i="2"/>
  <c r="B36" i="2"/>
  <c r="A36" i="2"/>
  <c r="H35" i="2"/>
  <c r="J35" i="2"/>
  <c r="I35" i="2"/>
  <c r="G35" i="2"/>
  <c r="E35" i="2"/>
  <c r="C35" i="2"/>
  <c r="B35" i="2"/>
  <c r="A35" i="2"/>
  <c r="H34" i="2"/>
  <c r="J34" i="2"/>
  <c r="I34" i="2"/>
  <c r="G34" i="2"/>
  <c r="E34" i="2"/>
  <c r="C34" i="2"/>
  <c r="B34" i="2"/>
  <c r="A34" i="2"/>
  <c r="H33" i="2"/>
  <c r="J33" i="2"/>
  <c r="I33" i="2"/>
  <c r="G33" i="2"/>
  <c r="E33" i="2"/>
  <c r="C33" i="2"/>
  <c r="B33" i="2"/>
  <c r="A33" i="2"/>
  <c r="H32" i="2"/>
  <c r="J32" i="2"/>
  <c r="I32" i="2"/>
  <c r="G32" i="2"/>
  <c r="E32" i="2"/>
  <c r="C32" i="2"/>
  <c r="B32" i="2"/>
  <c r="A32" i="2"/>
  <c r="H31" i="2"/>
  <c r="J31" i="2"/>
  <c r="I31" i="2"/>
  <c r="G31" i="2"/>
  <c r="E31" i="2"/>
  <c r="C31" i="2"/>
  <c r="B31" i="2"/>
  <c r="A31" i="2"/>
  <c r="H30" i="2"/>
  <c r="J30" i="2"/>
  <c r="I30" i="2"/>
  <c r="G30" i="2"/>
  <c r="E30" i="2"/>
  <c r="C30" i="2"/>
  <c r="B30" i="2"/>
  <c r="A30" i="2"/>
  <c r="H29" i="2"/>
  <c r="J29" i="2"/>
  <c r="I29" i="2"/>
  <c r="G29" i="2"/>
  <c r="E29" i="2"/>
  <c r="C29" i="2"/>
  <c r="B29" i="2"/>
  <c r="A29" i="2"/>
  <c r="H28" i="2"/>
  <c r="J28" i="2"/>
  <c r="I28" i="2"/>
  <c r="G28" i="2"/>
  <c r="E28" i="2"/>
  <c r="C28" i="2"/>
  <c r="B28" i="2"/>
  <c r="A28" i="2"/>
  <c r="H27" i="2"/>
  <c r="J27" i="2"/>
  <c r="I27" i="2"/>
  <c r="G27" i="2"/>
  <c r="E27" i="2"/>
  <c r="C27" i="2"/>
  <c r="B27" i="2"/>
  <c r="A27" i="2"/>
  <c r="H26" i="2"/>
  <c r="J26" i="2"/>
  <c r="I26" i="2"/>
  <c r="G26" i="2"/>
  <c r="E26" i="2"/>
  <c r="C26" i="2"/>
  <c r="B26" i="2"/>
  <c r="A26" i="2"/>
  <c r="H25" i="2"/>
  <c r="J25" i="2"/>
  <c r="I25" i="2"/>
  <c r="G25" i="2"/>
  <c r="E25" i="2"/>
  <c r="C25" i="2"/>
  <c r="B25" i="2"/>
  <c r="A25" i="2"/>
  <c r="H24" i="2"/>
  <c r="J24" i="2"/>
  <c r="I24" i="2"/>
  <c r="G24" i="2"/>
  <c r="E24" i="2"/>
  <c r="C24" i="2"/>
  <c r="B24" i="2"/>
  <c r="A24" i="2"/>
  <c r="H23" i="2"/>
  <c r="J23" i="2"/>
  <c r="I23" i="2"/>
  <c r="G23" i="2"/>
  <c r="E23" i="2"/>
  <c r="C23" i="2"/>
  <c r="B23" i="2"/>
  <c r="A23" i="2"/>
  <c r="H22" i="2"/>
  <c r="J22" i="2"/>
  <c r="I22" i="2"/>
  <c r="G22" i="2"/>
  <c r="E22" i="2"/>
  <c r="C22" i="2"/>
  <c r="B22" i="2"/>
  <c r="A22" i="2"/>
  <c r="H21" i="2"/>
  <c r="J21" i="2"/>
  <c r="I21" i="2"/>
  <c r="G21" i="2"/>
  <c r="E21" i="2"/>
  <c r="C21" i="2"/>
  <c r="B21" i="2"/>
  <c r="A21" i="2"/>
  <c r="H20" i="2"/>
  <c r="J20" i="2"/>
  <c r="I20" i="2"/>
  <c r="G20" i="2"/>
  <c r="E20" i="2"/>
  <c r="C20" i="2"/>
  <c r="B20" i="2"/>
  <c r="A20" i="2"/>
  <c r="H19" i="2"/>
  <c r="J19" i="2"/>
  <c r="I19" i="2"/>
  <c r="G19" i="2"/>
  <c r="E19" i="2"/>
  <c r="C19" i="2"/>
  <c r="B19" i="2"/>
  <c r="A19" i="2"/>
  <c r="H18" i="2"/>
  <c r="J18" i="2"/>
  <c r="I18" i="2"/>
  <c r="G18" i="2"/>
  <c r="E18" i="2"/>
  <c r="C18" i="2"/>
  <c r="B18" i="2"/>
  <c r="A18" i="2"/>
  <c r="H17" i="2"/>
  <c r="J17" i="2"/>
  <c r="I17" i="2"/>
  <c r="G17" i="2"/>
  <c r="E17" i="2"/>
  <c r="C17" i="2"/>
  <c r="B17" i="2"/>
  <c r="A17" i="2"/>
  <c r="H16" i="2"/>
  <c r="J16" i="2"/>
  <c r="I16" i="2"/>
  <c r="G16" i="2"/>
  <c r="E16" i="2"/>
  <c r="C16" i="2"/>
  <c r="B16" i="2"/>
  <c r="A16" i="2"/>
  <c r="H15" i="2"/>
  <c r="J15" i="2"/>
  <c r="I15" i="2"/>
  <c r="G15" i="2"/>
  <c r="E15" i="2"/>
  <c r="C15" i="2"/>
  <c r="B15" i="2"/>
  <c r="A15" i="2"/>
  <c r="H14" i="2"/>
  <c r="J14" i="2"/>
  <c r="I14" i="2"/>
  <c r="G14" i="2"/>
  <c r="E14" i="2"/>
  <c r="C14" i="2"/>
  <c r="B14" i="2"/>
  <c r="A14" i="2"/>
  <c r="H13" i="2"/>
  <c r="J13" i="2"/>
  <c r="I13" i="2"/>
  <c r="G13" i="2"/>
  <c r="E13" i="2"/>
  <c r="C13" i="2"/>
  <c r="B13" i="2"/>
  <c r="A13" i="2"/>
  <c r="H12" i="2"/>
  <c r="J12" i="2"/>
  <c r="I12" i="2"/>
  <c r="G12" i="2"/>
  <c r="E12" i="2"/>
  <c r="C12" i="2"/>
  <c r="B12" i="2"/>
  <c r="A12" i="2"/>
  <c r="H11" i="2"/>
  <c r="J11" i="2"/>
  <c r="I11" i="2"/>
  <c r="G11" i="2"/>
  <c r="E11" i="2"/>
  <c r="C11" i="2"/>
  <c r="B11" i="2"/>
  <c r="A11" i="2"/>
  <c r="H10" i="2"/>
  <c r="J10" i="2"/>
  <c r="I10" i="2"/>
  <c r="G10" i="2"/>
  <c r="E10" i="2"/>
  <c r="C10" i="2"/>
  <c r="B10" i="2"/>
  <c r="A10" i="2"/>
  <c r="H9" i="2"/>
  <c r="J9" i="2"/>
  <c r="I9" i="2"/>
  <c r="G9" i="2"/>
  <c r="E9" i="2"/>
  <c r="C9" i="2"/>
  <c r="B9" i="2"/>
  <c r="A9" i="2"/>
  <c r="H8" i="2"/>
  <c r="J8" i="2"/>
  <c r="I8" i="2"/>
  <c r="G8" i="2"/>
  <c r="E8" i="2"/>
  <c r="C8" i="2"/>
  <c r="B8" i="2"/>
  <c r="A8" i="2"/>
  <c r="H7" i="2"/>
  <c r="J7" i="2"/>
  <c r="I7" i="2"/>
  <c r="G7" i="2"/>
  <c r="E7" i="2"/>
  <c r="C7" i="2"/>
  <c r="B7" i="2"/>
  <c r="A7" i="2"/>
  <c r="E6" i="2"/>
  <c r="C6" i="2"/>
  <c r="E5" i="2"/>
  <c r="C5" i="2"/>
  <c r="E4" i="2"/>
  <c r="C4" i="2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F9" i="1"/>
  <c r="B9" i="1"/>
  <c r="A4" i="4"/>
  <c r="B4" i="4"/>
  <c r="C4" i="4"/>
  <c r="D4" i="4"/>
  <c r="G4" i="4"/>
  <c r="H4" i="4"/>
  <c r="G61" i="4"/>
  <c r="B6" i="1"/>
  <c r="D6" i="1"/>
  <c r="F6" i="1"/>
  <c r="D9" i="1"/>
  <c r="B5" i="6"/>
  <c r="C5" i="6"/>
  <c r="D5" i="6"/>
  <c r="E5" i="6"/>
  <c r="F5" i="6"/>
  <c r="B6" i="6"/>
  <c r="C6" i="6"/>
  <c r="D6" i="6"/>
  <c r="E6" i="6"/>
  <c r="F6" i="6"/>
  <c r="B7" i="6"/>
  <c r="C7" i="6"/>
  <c r="D7" i="6"/>
  <c r="E7" i="6"/>
  <c r="F7" i="6"/>
  <c r="B8" i="6"/>
  <c r="C8" i="6"/>
  <c r="D8" i="6"/>
  <c r="E8" i="6"/>
  <c r="F8" i="6"/>
  <c r="B9" i="6"/>
  <c r="C9" i="6"/>
  <c r="D9" i="6"/>
  <c r="E9" i="6"/>
  <c r="F9" i="6"/>
  <c r="B10" i="6"/>
  <c r="C10" i="6"/>
  <c r="D10" i="6"/>
  <c r="E10" i="6"/>
  <c r="F10" i="6"/>
  <c r="B11" i="6"/>
  <c r="C11" i="6"/>
  <c r="D11" i="6"/>
  <c r="E11" i="6"/>
  <c r="F11" i="6"/>
  <c r="B15" i="6"/>
  <c r="C15" i="6"/>
  <c r="D15" i="6"/>
  <c r="E15" i="6"/>
  <c r="F15" i="6"/>
  <c r="B16" i="6"/>
  <c r="C16" i="6"/>
  <c r="D16" i="6"/>
  <c r="E16" i="6"/>
  <c r="F16" i="6"/>
  <c r="B17" i="6"/>
  <c r="C17" i="6"/>
  <c r="D17" i="6"/>
  <c r="E17" i="6"/>
  <c r="F17" i="6"/>
  <c r="A4" i="2"/>
  <c r="B4" i="2"/>
  <c r="A5" i="2"/>
  <c r="B5" i="2"/>
  <c r="A6" i="2"/>
  <c r="B6" i="2"/>
</calcChain>
</file>

<file path=xl/sharedStrings.xml><?xml version="1.0" encoding="utf-8"?>
<sst xmlns="http://schemas.openxmlformats.org/spreadsheetml/2006/main" count="156" uniqueCount="114">
  <si>
    <t>AUTOMATED SARI-SARI STORE MANAGEMENT SYSTEM</t>
  </si>
  <si>
    <t>Live Dashboard</t>
  </si>
  <si>
    <t>TODAY'S SALES</t>
  </si>
  <si>
    <t>TODAY'S PROFIT</t>
  </si>
  <si>
    <t>MONTH SALES</t>
  </si>
  <si>
    <t>RESTOCK ALERTS</t>
  </si>
  <si>
    <t>UTANG / CREDIT</t>
  </si>
  <si>
    <t>STOCK VALUE</t>
  </si>
  <si>
    <t>LIVE STOCK DASHBOARD</t>
  </si>
  <si>
    <t>Product Name</t>
  </si>
  <si>
    <t>Current Stock</t>
  </si>
  <si>
    <t>Reorder Level</t>
  </si>
  <si>
    <t>Status</t>
  </si>
  <si>
    <t>DAILY SALES &amp; PROFIT (LAST 7 DAYS)</t>
  </si>
  <si>
    <t>TOP SELLING PRODUCTS (BY QUANTITY)</t>
  </si>
  <si>
    <t>DAILY SALES TRANSACTION LOG</t>
  </si>
  <si>
    <t>Date</t>
  </si>
  <si>
    <t>Time</t>
  </si>
  <si>
    <t>Trans No</t>
  </si>
  <si>
    <t>Product ID</t>
  </si>
  <si>
    <t>Qty</t>
  </si>
  <si>
    <t>Unit Price (₱)</t>
  </si>
  <si>
    <t>Total Sale (₱)</t>
  </si>
  <si>
    <t>Cost (₱)</t>
  </si>
  <si>
    <t>Profit (₱)</t>
  </si>
  <si>
    <t>Payment</t>
  </si>
  <si>
    <t>Customer Name</t>
  </si>
  <si>
    <t>P001</t>
  </si>
  <si>
    <t>Cash</t>
  </si>
  <si>
    <t>P002</t>
  </si>
  <si>
    <t>P005</t>
  </si>
  <si>
    <t>Credit</t>
  </si>
  <si>
    <t>Magtalas</t>
  </si>
  <si>
    <t>PRODUCT MASTER LIST &amp; INVENTORY</t>
  </si>
  <si>
    <t>Category</t>
  </si>
  <si>
    <t>Cost Price (₱)</t>
  </si>
  <si>
    <t>Selling Price (₱)</t>
  </si>
  <si>
    <t>Stock Value (₱)</t>
  </si>
  <si>
    <t>Opening Stock</t>
  </si>
  <si>
    <t>Coke Mismo 300ml</t>
  </si>
  <si>
    <t>Drinks</t>
  </si>
  <si>
    <t>Royal Tru-Orange 300ml</t>
  </si>
  <si>
    <t>P003</t>
  </si>
  <si>
    <t>Sprite 300ml</t>
  </si>
  <si>
    <t>P004</t>
  </si>
  <si>
    <t>Lucky Me Pancit Canton</t>
  </si>
  <si>
    <t>Noodles</t>
  </si>
  <si>
    <t>Lucky Me Instant Mami</t>
  </si>
  <si>
    <t>P006</t>
  </si>
  <si>
    <t>Nescafe 3in1 Coffee</t>
  </si>
  <si>
    <t>Coffee</t>
  </si>
  <si>
    <t>P007</t>
  </si>
  <si>
    <t>Great Taste White Coffee</t>
  </si>
  <si>
    <t>P008</t>
  </si>
  <si>
    <t>Bear Brand Powder 33g</t>
  </si>
  <si>
    <t>Milk</t>
  </si>
  <si>
    <t>P009</t>
  </si>
  <si>
    <t>Alaska Powder 33g</t>
  </si>
  <si>
    <t>P010</t>
  </si>
  <si>
    <t>Argentinian Hotdog 250g</t>
  </si>
  <si>
    <t>Frozen</t>
  </si>
  <si>
    <t>P011</t>
  </si>
  <si>
    <t>CDO Karne Norte 100g</t>
  </si>
  <si>
    <t>Canned</t>
  </si>
  <si>
    <t>P012</t>
  </si>
  <si>
    <t>Lucky Me! Go Cup</t>
  </si>
  <si>
    <t>P013</t>
  </si>
  <si>
    <t>Piatos Chips</t>
  </si>
  <si>
    <t>Snacks</t>
  </si>
  <si>
    <t>P014</t>
  </si>
  <si>
    <t>Chicharap</t>
  </si>
  <si>
    <t>P015</t>
  </si>
  <si>
    <t>Rice (per kg)</t>
  </si>
  <si>
    <t>Staples</t>
  </si>
  <si>
    <t>P016</t>
  </si>
  <si>
    <t>Egg (per piece)</t>
  </si>
  <si>
    <t>P017</t>
  </si>
  <si>
    <t>Datu Puti Vinegar 350ml</t>
  </si>
  <si>
    <t>Condiments</t>
  </si>
  <si>
    <t>P018</t>
  </si>
  <si>
    <t>Silver Swan Soy Sauce 350ml</t>
  </si>
  <si>
    <t>TOTAL</t>
  </si>
  <si>
    <t>CUSTOMER CREDIT / UTANG LEDGER</t>
  </si>
  <si>
    <t>Date Borrowed</t>
  </si>
  <si>
    <t>Item/s</t>
  </si>
  <si>
    <t>Amount Owed (₱)</t>
  </si>
  <si>
    <t>Date Paid</t>
  </si>
  <si>
    <t>Amount Paid (₱)</t>
  </si>
  <si>
    <t>Balance (₱)</t>
  </si>
  <si>
    <t>TOTAL OUTSTANDING</t>
  </si>
  <si>
    <t>SUPPLIER PURCHASES / RESTOCK RECORD</t>
  </si>
  <si>
    <t>Supplier</t>
  </si>
  <si>
    <t>Qty Bought</t>
  </si>
  <si>
    <t>Unit Cost (₱)</t>
  </si>
  <si>
    <t>Total Cost (₱)</t>
  </si>
  <si>
    <t>Coca-Cola Distributor</t>
  </si>
  <si>
    <t>Monde Nissin Dealer</t>
  </si>
  <si>
    <t>Nestle Distributor</t>
  </si>
  <si>
    <t>Rice Wholesaler</t>
  </si>
  <si>
    <t>TOTAL PURCHASES</t>
  </si>
  <si>
    <t>AUTO GENERATED SALES &amp; PROFIT REPORTS</t>
  </si>
  <si>
    <t xml:space="preserve">DAILY SALES (LAST 7 DAYS) </t>
  </si>
  <si>
    <t>Total Sales (₱)</t>
  </si>
  <si>
    <t>Gross Profit (₱)</t>
  </si>
  <si>
    <t>Items Sold</t>
  </si>
  <si>
    <t>Margin %</t>
  </si>
  <si>
    <t>PERIOD SUMMARY</t>
  </si>
  <si>
    <t>Period</t>
  </si>
  <si>
    <t>Today</t>
  </si>
  <si>
    <t>This Week (Mon-Sun)</t>
  </si>
  <si>
    <t>This Month</t>
  </si>
  <si>
    <t>Rank</t>
  </si>
  <si>
    <t>Qty Sold</t>
  </si>
  <si>
    <t>Total Profit (₱)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</si>
</sst>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₱#,##0.00"/>
    <numFmt numFmtId="166" formatCode="mmm\ d&quot;, &quot;yyyy"/>
    <numFmt numFmtId="167" formatCode="[$-409]h:mm\ AM/PM;@"/>
    <numFmt numFmtId="168" formatCode="0.0%"/>
  </numFmts>
  <fonts count="24" x14ac:knownFonts="1">
    <font>
      <sz val="11"/>
      <color rgb="FF000000"/>
      <name val="Calibri"/>
      <family val="1"/>
      <charset val="1"/>
    </font>
    <font>
      <b/>
      <sz val="18"/>
      <color rgb="FFFFFFFF"/>
      <name val="Arial"/>
      <family val="2"/>
      <charset val="1"/>
    </font>
    <font>
      <i/>
      <sz val="11"/>
      <color rgb="FF6B728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8"/>
      <color rgb="FF0F766E"/>
      <name val="Arial"/>
      <family val="2"/>
      <charset val="1"/>
    </font>
    <font>
      <b/>
      <sz val="18"/>
      <color rgb="FF166534"/>
      <name val="Arial"/>
      <family val="2"/>
      <charset val="1"/>
    </font>
    <font>
      <b/>
      <sz val="18"/>
      <color rgb="FFB45309"/>
      <name val="Arial"/>
      <family val="2"/>
      <charset val="1"/>
    </font>
    <font>
      <b/>
      <sz val="18"/>
      <color rgb="FFB91C1C"/>
      <name val="Arial"/>
      <family val="2"/>
      <charset val="1"/>
    </font>
    <font>
      <b/>
      <sz val="18"/>
      <color rgb="FF7C2D12"/>
      <name val="Arial"/>
      <family val="2"/>
      <charset val="1"/>
    </font>
    <font>
      <b/>
      <sz val="18"/>
      <color rgb="FF1E40AF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0"/>
      <color rgb="FF134E4A"/>
      <name val="Arial"/>
      <family val="2"/>
      <charset val="1"/>
    </font>
    <font>
      <sz val="10"/>
      <color rgb="FF000000"/>
      <name val="Arial"/>
      <family val="2"/>
      <charset val="1"/>
    </font>
    <font>
      <b/>
      <sz val="16"/>
      <color rgb="FFFFFFFF"/>
      <name val="Arial"/>
      <family val="2"/>
      <charset val="1"/>
    </font>
    <font>
      <i/>
      <sz val="10"/>
      <color rgb="FF6B7280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000000"/>
      <name val="Droid Sans"/>
      <charset val="134"/>
    </font>
    <font>
      <b/>
      <sz val="11"/>
      <color rgb="FFB45309"/>
      <name val="Arial"/>
      <family val="2"/>
      <charset val="1"/>
    </font>
    <font>
      <b/>
      <sz val="13"/>
      <color rgb="FFB45309"/>
      <name val="Arial"/>
      <family val="2"/>
      <charset val="1"/>
    </font>
    <font>
      <b/>
      <sz val="11"/>
      <color rgb="FF134E4A"/>
      <name val="Arial"/>
      <family val="2"/>
      <charset val="1"/>
    </font>
    <font>
      <b/>
      <sz val="12"/>
      <color rgb="FF134E4A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34E4A"/>
        <bgColor rgb="FF166534"/>
      </patternFill>
    </fill>
    <fill>
      <patternFill patternType="solid">
        <fgColor rgb="FF0F766E"/>
        <bgColor rgb="FF008080"/>
      </patternFill>
    </fill>
    <fill>
      <patternFill patternType="solid">
        <fgColor rgb="FF166534"/>
        <bgColor rgb="FF134E4A"/>
      </patternFill>
    </fill>
    <fill>
      <patternFill patternType="solid">
        <fgColor rgb="FFB45309"/>
        <bgColor rgb="FF7C2D12"/>
      </patternFill>
    </fill>
    <fill>
      <patternFill patternType="solid">
        <fgColor rgb="FFF0FDFA"/>
        <bgColor rgb="FFF3F4F6"/>
      </patternFill>
    </fill>
    <fill>
      <patternFill patternType="solid">
        <fgColor rgb="FFB91C1C"/>
        <bgColor rgb="FF7C2D12"/>
      </patternFill>
    </fill>
    <fill>
      <patternFill patternType="solid">
        <fgColor rgb="FF7C2D12"/>
        <bgColor rgb="FF800000"/>
      </patternFill>
    </fill>
    <fill>
      <patternFill patternType="solid">
        <fgColor rgb="FF1E40AF"/>
        <bgColor rgb="FF0066CC"/>
      </patternFill>
    </fill>
    <fill>
      <patternFill patternType="solid">
        <fgColor rgb="FFF3F4F6"/>
        <bgColor rgb="FFF0FDFA"/>
      </patternFill>
    </fill>
    <fill>
      <patternFill patternType="solid">
        <fgColor rgb="FFCCFBF1"/>
        <bgColor rgb="FFDCFCE7"/>
      </patternFill>
    </fill>
    <fill>
      <patternFill patternType="solid">
        <fgColor rgb="FFFEF3C7"/>
        <b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164" fontId="9" fillId="6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1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3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3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5" fillId="3" borderId="1" xfId="0" applyFont="1" applyFill="1" applyBorder="1" applyAlignment="1">
      <alignment horizontal="center" vertical="center" wrapText="1"/>
    </xf>
    <xf numFmtId="166" fontId="12" fillId="6" borderId="1" xfId="0" applyNumberFormat="1" applyFont="1" applyFill="1" applyBorder="1" applyAlignment="1">
      <alignment horizontal="center" vertical="center"/>
    </xf>
    <xf numFmtId="167" fontId="12" fillId="6" borderId="1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right" vertical="center"/>
    </xf>
    <xf numFmtId="166" fontId="12" fillId="0" borderId="1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right" vertical="center"/>
    </xf>
    <xf numFmtId="0" fontId="12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3" fontId="11" fillId="11" borderId="1" xfId="0" applyNumberFormat="1" applyFont="1" applyFill="1" applyBorder="1" applyAlignment="1">
      <alignment horizontal="center" vertical="center"/>
    </xf>
    <xf numFmtId="164" fontId="11" fillId="11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left" vertical="center" wrapText="1"/>
    </xf>
    <xf numFmtId="164" fontId="18" fillId="12" borderId="1" xfId="0" applyNumberFormat="1" applyFont="1" applyFill="1" applyBorder="1" applyAlignment="1">
      <alignment horizontal="right" vertical="center"/>
    </xf>
    <xf numFmtId="0" fontId="0" fillId="12" borderId="1" xfId="0" applyFill="1" applyBorder="1" applyAlignment="1">
      <alignment vertical="center"/>
    </xf>
    <xf numFmtId="164" fontId="20" fillId="11" borderId="1" xfId="0" applyNumberFormat="1" applyFont="1" applyFill="1" applyBorder="1" applyAlignment="1">
      <alignment horizontal="right" vertical="center"/>
    </xf>
    <xf numFmtId="168" fontId="21" fillId="0" borderId="1" xfId="0" applyNumberFormat="1" applyFont="1" applyBorder="1" applyAlignment="1">
      <alignment horizontal="center" vertical="center"/>
    </xf>
    <xf numFmtId="0" fontId="22" fillId="6" borderId="1" xfId="0" applyFont="1" applyFill="1" applyBorder="1" applyAlignment="1">
      <alignment horizontal="left" vertical="center"/>
    </xf>
    <xf numFmtId="164" fontId="23" fillId="6" borderId="1" xfId="0" applyNumberFormat="1" applyFont="1" applyFill="1" applyBorder="1" applyAlignment="1">
      <alignment horizontal="right" vertical="center"/>
    </xf>
    <xf numFmtId="3" fontId="22" fillId="6" borderId="1" xfId="0" applyNumberFormat="1" applyFont="1" applyFill="1" applyBorder="1" applyAlignment="1">
      <alignment horizontal="center" vertical="center"/>
    </xf>
    <xf numFmtId="168" fontId="22" fillId="6" borderId="1" xfId="0" applyNumberFormat="1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right" vertical="center"/>
    </xf>
    <xf numFmtId="0" fontId="19" fillId="11" borderId="1" xfId="0" applyFont="1" applyFill="1" applyBorder="1" applyAlignment="1">
      <alignment horizontal="right" vertical="center"/>
    </xf>
  </cellXfs>
  <cellStyles count="1">
    <cellStyle name="Normal" xfId="0" builtinId="0"/>
  </cellStyles>
  <dxfs count="14">
    <dxf>
      <font>
        <color rgb="FF166534"/>
      </font>
      <fill>
        <patternFill>
          <bgColor rgb="FFDCFCE7"/>
        </patternFill>
      </fill>
    </dxf>
    <dxf>
      <font>
        <color rgb="FFB45309"/>
      </font>
      <fill>
        <patternFill>
          <bgColor rgb="FFFEF3C7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B91C1C"/>
      </font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FEF3C7"/>
        </patternFill>
      </fill>
    </dxf>
    <dxf>
      <fill>
        <patternFill>
          <bgColor rgb="FFFEF3C7"/>
        </patternFill>
      </fill>
    </dxf>
    <dxf>
      <fill>
        <patternFill>
          <bgColor rgb="FFFEF3C7"/>
        </patternFill>
      </fill>
    </dxf>
    <dxf>
      <fill>
        <patternFill>
          <bgColor rgb="FFFEF3C7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B91C1C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F766E"/>
      <rgbColor rgb="FFB3B3B3"/>
      <rgbColor rgb="FF808080"/>
      <rgbColor rgb="FF9999FF"/>
      <rgbColor rgb="FFB91C1C"/>
      <rgbColor rgb="FFFEF3C7"/>
      <rgbColor rgb="FFCCFB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F0FDFA"/>
      <rgbColor rgb="FFF3F4F6"/>
      <rgbColor rgb="FFD9D9D9"/>
      <rgbColor rgb="FFFF99CC"/>
      <rgbColor rgb="FFCC99FF"/>
      <rgbColor rgb="FFFEE2E2"/>
      <rgbColor rgb="FF3366FF"/>
      <rgbColor rgb="FF33CCCC"/>
      <rgbColor rgb="FF99CC00"/>
      <rgbColor rgb="FFFFCC00"/>
      <rgbColor rgb="FFF59E0B"/>
      <rgbColor rgb="FFFF6600"/>
      <rgbColor rgb="FF6B7280"/>
      <rgbColor rgb="FF969696"/>
      <rgbColor rgb="FF134E4A"/>
      <rgbColor rgb="FF339966"/>
      <rgbColor rgb="FF003300"/>
      <rgbColor rgb="FF333300"/>
      <rgbColor rgb="FF7C2D12"/>
      <rgbColor rgb="FFB45309"/>
      <rgbColor rgb="FF1E40A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Reports!B4</c:f>
              <c:strCache>
                <c:ptCount val="1"/>
                <c:pt idx="0">
                  <c:v>Total Sales (₱)</c:v>
                </c:pt>
              </c:strCache>
            </c:strRef>
          </c:tx>
          <c:spPr>
            <a:ln w="28440">
              <a:solidFill>
                <a:srgbClr val="0F766E"/>
              </a:solidFill>
              <a:round/>
            </a:ln>
          </c:spPr>
          <c:marker>
            <c:symbol val="circle"/>
            <c:size val="7"/>
            <c:spPr>
              <a:solidFill>
                <a:srgbClr val="0F766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Reports!$A$5:$A$11</c:f>
              <c:numCache>
                <c:formatCode>mmm\ d", "yyyy</c:formatCode>
                <c:ptCount val="7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</c:numCache>
            </c:numRef>
          </c:cat>
          <c:val>
            <c:numRef>
              <c:f>Reports!$B$5:$B$11</c:f>
              <c:numCache>
                <c:formatCode>\₱#,##0.00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E1-F746-A83F-5DA9DD3E576D}"/>
            </c:ext>
          </c:extLst>
        </c:ser>
        <c:ser>
          <c:idx val="1"/>
          <c:order val="1"/>
          <c:tx>
            <c:strRef>
              <c:f>Reports!D4</c:f>
              <c:strCache>
                <c:ptCount val="1"/>
                <c:pt idx="0">
                  <c:v>Gross Profit (₱)</c:v>
                </c:pt>
              </c:strCache>
            </c:strRef>
          </c:tx>
          <c:spPr>
            <a:ln w="28440">
              <a:solidFill>
                <a:srgbClr val="F59E0B"/>
              </a:solidFill>
              <a:round/>
            </a:ln>
          </c:spPr>
          <c:marker>
            <c:symbol val="circle"/>
            <c:size val="7"/>
            <c:spPr>
              <a:solidFill>
                <a:srgbClr val="F59E0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Reports!$A$5:$A$11</c:f>
              <c:numCache>
                <c:formatCode>mmm\ d", "yyyy</c:formatCode>
                <c:ptCount val="7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</c:numCache>
            </c:numRef>
          </c:cat>
          <c:val>
            <c:numRef>
              <c:f>Reports!$D$5:$D$11</c:f>
              <c:numCache>
                <c:formatCode>\₱#,##0.00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E1-F746-A83F-5DA9DD3E5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8503297"/>
        <c:axId val="80433181"/>
      </c:lineChart>
      <c:dateAx>
        <c:axId val="98503297"/>
        <c:scaling>
          <c:orientation val="minMax"/>
        </c:scaling>
        <c:delete val="0"/>
        <c:axPos val="b"/>
        <c:numFmt formatCode="mmm\ d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433181"/>
        <c:crosses val="autoZero"/>
        <c:auto val="1"/>
        <c:lblOffset val="100"/>
        <c:baseTimeUnit val="days"/>
      </c:dateAx>
      <c:valAx>
        <c:axId val="804331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000" b="1" strike="noStrike" spc="-1">
                    <a:solidFill>
                      <a:srgbClr val="000000"/>
                    </a:solidFill>
                    <a:latin typeface="Calibri"/>
                  </a:rPr>
                  <a:t>Amount (₱)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₱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5032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Reports!C20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rgbClr val="0F766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Reports!$B$21:$B$30</c:f>
              <c:strCache>
                <c:ptCount val="10"/>
                <c:pt idx="0">
                  <c:v>Royal Tru-Orange 300ml</c:v>
                </c:pt>
                <c:pt idx="1">
                  <c:v>Coke Mismo 300ml</c:v>
                </c:pt>
                <c:pt idx="2">
                  <c:v>Lucky Me Instant Mami</c:v>
                </c:pt>
                <c:pt idx="3">
                  <c:v>Sprite 300ml</c:v>
                </c:pt>
                <c:pt idx="4">
                  <c:v>Lucky Me Pancit Canton</c:v>
                </c:pt>
                <c:pt idx="5">
                  <c:v>Nescafe 3in1 Coffee</c:v>
                </c:pt>
                <c:pt idx="6">
                  <c:v>Great Taste White Coffee</c:v>
                </c:pt>
                <c:pt idx="7">
                  <c:v>Bear Brand Powder 33g</c:v>
                </c:pt>
                <c:pt idx="8">
                  <c:v>Alaska Powder 33g</c:v>
                </c:pt>
                <c:pt idx="9">
                  <c:v>Argentinian Hotdog 250g</c:v>
                </c:pt>
              </c:strCache>
            </c:strRef>
          </c:cat>
          <c:val>
            <c:numRef>
              <c:f>Reports!$C$21:$C$30</c:f>
              <c:numCache>
                <c:formatCode>#,##0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6-AF40-A904-4862A8046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9772830"/>
        <c:axId val="29316723"/>
      </c:barChart>
      <c:catAx>
        <c:axId val="3977283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316723"/>
        <c:crosses val="autoZero"/>
        <c:auto val="1"/>
        <c:lblAlgn val="ctr"/>
        <c:lblOffset val="100"/>
        <c:noMultiLvlLbl val="0"/>
      </c:catAx>
      <c:valAx>
        <c:axId val="2931672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000" b="1" strike="noStrike" spc="-1">
                    <a:solidFill>
                      <a:srgbClr val="000000"/>
                    </a:solidFill>
                    <a:latin typeface="Calibri"/>
                  </a:rPr>
                  <a:t>Qty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772830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6</xdr:col>
      <xdr:colOff>1261504</xdr:colOff>
      <xdr:row>48</xdr:row>
      <xdr:rowOff>11520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-1</xdr:colOff>
      <xdr:row>51</xdr:row>
      <xdr:rowOff>0</xdr:rowOff>
    </xdr:from>
    <xdr:to>
      <xdr:col>7</xdr:col>
      <xdr:colOff>-2</xdr:colOff>
      <xdr:row>67</xdr:row>
      <xdr:rowOff>85680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6"/>
  <sheetViews>
    <sheetView zoomScale="50" zoomScaleNormal="50" workbookViewId="0">
      <selection activeCell="J44" sqref="J44"/>
    </sheetView>
  </sheetViews>
  <sheetFormatPr defaultColWidth="8.609375" defaultRowHeight="15" x14ac:dyDescent="0.2"/>
  <cols>
    <col min="1" max="1" width="2.95703125" style="15" customWidth="1"/>
    <col min="2" max="7" width="18.0234375" style="15" customWidth="1"/>
    <col min="8" max="8" width="2.95703125" style="15" customWidth="1"/>
  </cols>
  <sheetData>
    <row r="2" spans="2:7" ht="33.75" customHeight="1" x14ac:dyDescent="0.2">
      <c r="B2" s="14" t="s">
        <v>0</v>
      </c>
      <c r="C2" s="14"/>
      <c r="D2" s="14"/>
      <c r="E2" s="14"/>
      <c r="F2" s="14"/>
      <c r="G2" s="14"/>
    </row>
    <row r="3" spans="2:7" ht="21.75" customHeight="1" x14ac:dyDescent="0.2">
      <c r="B3" s="13" t="s">
        <v>1</v>
      </c>
      <c r="C3" s="13"/>
      <c r="D3" s="13"/>
      <c r="E3" s="13"/>
      <c r="F3" s="13"/>
      <c r="G3" s="13"/>
    </row>
    <row r="5" spans="2:7" ht="21.75" customHeight="1" x14ac:dyDescent="0.2">
      <c r="B5" s="12" t="s">
        <v>2</v>
      </c>
      <c r="C5" s="12"/>
      <c r="D5" s="11" t="s">
        <v>3</v>
      </c>
      <c r="E5" s="11"/>
      <c r="F5" s="10" t="s">
        <v>4</v>
      </c>
      <c r="G5" s="10"/>
    </row>
    <row r="6" spans="2:7" ht="39.75" customHeight="1" x14ac:dyDescent="0.2">
      <c r="B6" s="9">
        <f ca="1">SUMIFS('Sales Log'!$H$4:$H$120,'Sales Log'!$A$4:$A$120,TODAY())</f>
        <v>301</v>
      </c>
      <c r="C6" s="9"/>
      <c r="D6" s="8">
        <f ca="1">SUMIFS('Sales Log'!$J$4:$J$120,'Sales Log'!$A$4:$A$120,TODAY())</f>
        <v>85</v>
      </c>
      <c r="E6" s="8"/>
      <c r="F6" s="7">
        <f ca="1">SUMIFS('Sales Log'!$H$4:$H$120,'Sales Log'!$A$4:$A$120,"&gt;="&amp;DATE(YEAR(TODAY()),MONTH(TODAY()),1),'Sales Log'!$A$4:$A$120,"&lt;="&amp;EOMONTH(TODAY(),0))</f>
        <v>301</v>
      </c>
      <c r="G6" s="7"/>
    </row>
    <row r="8" spans="2:7" ht="21.75" customHeight="1" x14ac:dyDescent="0.2">
      <c r="B8" s="6" t="s">
        <v>5</v>
      </c>
      <c r="C8" s="6"/>
      <c r="D8" s="5" t="s">
        <v>6</v>
      </c>
      <c r="E8" s="5"/>
      <c r="F8" s="4" t="s">
        <v>7</v>
      </c>
      <c r="G8" s="4"/>
    </row>
    <row r="9" spans="2:7" ht="39.75" customHeight="1" x14ac:dyDescent="0.2">
      <c r="B9" s="3">
        <f>COUNTIF(Inventory!$H$4:$H$21,"REORDER")</f>
        <v>3</v>
      </c>
      <c r="C9" s="3"/>
      <c r="D9" s="2">
        <f ca="1">SUMIF('Credit Ledger'!$G$4:$G$60,"&gt;0")</f>
        <v>6</v>
      </c>
      <c r="E9" s="2"/>
      <c r="F9" s="1">
        <f>SUM(Inventory!$I$4:$I$21)</f>
        <v>13849</v>
      </c>
      <c r="G9" s="1"/>
    </row>
    <row r="11" spans="2:7" ht="24" customHeight="1" x14ac:dyDescent="0.2">
      <c r="B11" s="47" t="s">
        <v>8</v>
      </c>
      <c r="C11" s="47"/>
      <c r="D11" s="47"/>
      <c r="E11" s="47"/>
      <c r="F11" s="47"/>
      <c r="G11" s="47"/>
    </row>
    <row r="12" spans="2:7" ht="15" customHeight="1" x14ac:dyDescent="0.2">
      <c r="B12" s="16" t="s">
        <v>9</v>
      </c>
      <c r="C12" s="16" t="s">
        <v>10</v>
      </c>
      <c r="D12" s="16" t="s">
        <v>11</v>
      </c>
      <c r="E12" s="48" t="s">
        <v>12</v>
      </c>
      <c r="F12" s="48"/>
      <c r="G12" s="48"/>
    </row>
    <row r="13" spans="2:7" ht="15" customHeight="1" x14ac:dyDescent="0.2">
      <c r="B13" s="17" t="str">
        <f>Inventory!B4</f>
        <v>Coke Mismo 300ml</v>
      </c>
      <c r="C13" s="18">
        <f>Inventory!F4</f>
        <v>46</v>
      </c>
      <c r="D13" s="18">
        <f>Inventory!G4</f>
        <v>15</v>
      </c>
      <c r="E13" s="49" t="str">
        <f>IF(Inventory!H4="REORDER","REORDER NOW","OK")</f>
        <v>OK</v>
      </c>
      <c r="F13" s="49"/>
      <c r="G13" s="49"/>
    </row>
    <row r="14" spans="2:7" ht="15" customHeight="1" x14ac:dyDescent="0.2">
      <c r="B14" s="20" t="str">
        <f>Inventory!B5</f>
        <v>Royal Tru-Orange 300ml</v>
      </c>
      <c r="C14" s="21">
        <f>Inventory!F5</f>
        <v>30</v>
      </c>
      <c r="D14" s="21">
        <f>Inventory!G5</f>
        <v>15</v>
      </c>
      <c r="E14" s="50" t="str">
        <f>IF(Inventory!H5="REORDER","REORDER NOW","OK")</f>
        <v>OK</v>
      </c>
      <c r="F14" s="50"/>
      <c r="G14" s="50"/>
    </row>
    <row r="15" spans="2:7" ht="15" customHeight="1" x14ac:dyDescent="0.2">
      <c r="B15" s="17" t="str">
        <f>Inventory!B6</f>
        <v>Sprite 300ml</v>
      </c>
      <c r="C15" s="18">
        <f>Inventory!F6</f>
        <v>12</v>
      </c>
      <c r="D15" s="18">
        <f>Inventory!G6</f>
        <v>15</v>
      </c>
      <c r="E15" s="49" t="str">
        <f>IF(Inventory!H6="REORDER","REORDER NOW","OK")</f>
        <v>REORDER NOW</v>
      </c>
      <c r="F15" s="49"/>
      <c r="G15" s="49"/>
    </row>
    <row r="16" spans="2:7" ht="15" customHeight="1" x14ac:dyDescent="0.2">
      <c r="B16" s="20" t="str">
        <f>Inventory!B7</f>
        <v>Lucky Me Pancit Canton</v>
      </c>
      <c r="C16" s="21">
        <f>Inventory!F7</f>
        <v>120</v>
      </c>
      <c r="D16" s="21">
        <f>Inventory!G7</f>
        <v>30</v>
      </c>
      <c r="E16" s="50" t="str">
        <f>IF(Inventory!H7="REORDER","REORDER NOW","OK")</f>
        <v>OK</v>
      </c>
      <c r="F16" s="50"/>
      <c r="G16" s="50"/>
    </row>
    <row r="17" spans="2:7" ht="15" customHeight="1" x14ac:dyDescent="0.2">
      <c r="B17" s="17" t="str">
        <f>Inventory!B8</f>
        <v>Lucky Me Instant Mami</v>
      </c>
      <c r="C17" s="18">
        <f>Inventory!F8</f>
        <v>78</v>
      </c>
      <c r="D17" s="18">
        <f>Inventory!G8</f>
        <v>30</v>
      </c>
      <c r="E17" s="49" t="str">
        <f>IF(Inventory!H8="REORDER","REORDER NOW","OK")</f>
        <v>OK</v>
      </c>
      <c r="F17" s="49"/>
      <c r="G17" s="49"/>
    </row>
    <row r="18" spans="2:7" ht="15" customHeight="1" x14ac:dyDescent="0.2">
      <c r="B18" s="20" t="str">
        <f>Inventory!B9</f>
        <v>Nescafe 3in1 Coffee</v>
      </c>
      <c r="C18" s="21">
        <f>Inventory!F9</f>
        <v>10</v>
      </c>
      <c r="D18" s="21">
        <f>Inventory!G9</f>
        <v>20</v>
      </c>
      <c r="E18" s="50" t="str">
        <f>IF(Inventory!H9="REORDER","REORDER NOW","OK")</f>
        <v>REORDER NOW</v>
      </c>
      <c r="F18" s="50"/>
      <c r="G18" s="50"/>
    </row>
    <row r="19" spans="2:7" ht="15" customHeight="1" x14ac:dyDescent="0.2">
      <c r="B19" s="17" t="str">
        <f>Inventory!B10</f>
        <v>Great Taste White Coffee</v>
      </c>
      <c r="C19" s="18">
        <f>Inventory!F10</f>
        <v>55</v>
      </c>
      <c r="D19" s="18">
        <f>Inventory!G10</f>
        <v>20</v>
      </c>
      <c r="E19" s="49" t="str">
        <f>IF(Inventory!H10="REORDER","REORDER NOW","OK")</f>
        <v>OK</v>
      </c>
      <c r="F19" s="49"/>
      <c r="G19" s="49"/>
    </row>
    <row r="20" spans="2:7" ht="15" customHeight="1" x14ac:dyDescent="0.2">
      <c r="B20" s="20" t="str">
        <f>Inventory!B11</f>
        <v>Bear Brand Powder 33g</v>
      </c>
      <c r="C20" s="21">
        <f>Inventory!F11</f>
        <v>40</v>
      </c>
      <c r="D20" s="21">
        <f>Inventory!G11</f>
        <v>15</v>
      </c>
      <c r="E20" s="50" t="str">
        <f>IF(Inventory!H11="REORDER","REORDER NOW","OK")</f>
        <v>OK</v>
      </c>
      <c r="F20" s="50"/>
      <c r="G20" s="50"/>
    </row>
    <row r="21" spans="2:7" ht="15" customHeight="1" x14ac:dyDescent="0.2">
      <c r="B21" s="17" t="str">
        <f>Inventory!B12</f>
        <v>Alaska Powder 33g</v>
      </c>
      <c r="C21" s="18">
        <f>Inventory!F12</f>
        <v>8</v>
      </c>
      <c r="D21" s="18">
        <f>Inventory!G12</f>
        <v>15</v>
      </c>
      <c r="E21" s="49" t="str">
        <f>IF(Inventory!H12="REORDER","REORDER NOW","OK")</f>
        <v>REORDER NOW</v>
      </c>
      <c r="F21" s="49"/>
      <c r="G21" s="49"/>
    </row>
    <row r="22" spans="2:7" ht="15" customHeight="1" x14ac:dyDescent="0.2">
      <c r="B22" s="20" t="str">
        <f>Inventory!B13</f>
        <v>Argentinian Hotdog 250g</v>
      </c>
      <c r="C22" s="21">
        <f>Inventory!F13</f>
        <v>20</v>
      </c>
      <c r="D22" s="21">
        <f>Inventory!G13</f>
        <v>8</v>
      </c>
      <c r="E22" s="50" t="str">
        <f>IF(Inventory!H13="REORDER","REORDER NOW","OK")</f>
        <v>OK</v>
      </c>
      <c r="F22" s="50"/>
      <c r="G22" s="50"/>
    </row>
    <row r="23" spans="2:7" ht="15" customHeight="1" x14ac:dyDescent="0.2">
      <c r="B23" s="17" t="str">
        <f>Inventory!B14</f>
        <v>CDO Karne Norte 100g</v>
      </c>
      <c r="C23" s="18">
        <f>Inventory!F14</f>
        <v>25</v>
      </c>
      <c r="D23" s="18">
        <f>Inventory!G14</f>
        <v>10</v>
      </c>
      <c r="E23" s="49" t="str">
        <f>IF(Inventory!H14="REORDER","REORDER NOW","OK")</f>
        <v>OK</v>
      </c>
      <c r="F23" s="49"/>
      <c r="G23" s="49"/>
    </row>
    <row r="24" spans="2:7" ht="15" customHeight="1" x14ac:dyDescent="0.2">
      <c r="B24" s="20" t="str">
        <f>Inventory!B15</f>
        <v>Lucky Me! Go Cup</v>
      </c>
      <c r="C24" s="21">
        <f>Inventory!F15</f>
        <v>30</v>
      </c>
      <c r="D24" s="21">
        <f>Inventory!G15</f>
        <v>10</v>
      </c>
      <c r="E24" s="50" t="str">
        <f>IF(Inventory!H15="REORDER","REORDER NOW","OK")</f>
        <v>OK</v>
      </c>
      <c r="F24" s="50"/>
      <c r="G24" s="50"/>
    </row>
    <row r="25" spans="2:7" ht="15" customHeight="1" x14ac:dyDescent="0.2">
      <c r="B25" s="17" t="str">
        <f>Inventory!B16</f>
        <v>Piatos Chips</v>
      </c>
      <c r="C25" s="18">
        <f>Inventory!F16</f>
        <v>35</v>
      </c>
      <c r="D25" s="18">
        <f>Inventory!G16</f>
        <v>12</v>
      </c>
      <c r="E25" s="49" t="str">
        <f>IF(Inventory!H16="REORDER","REORDER NOW","OK")</f>
        <v>OK</v>
      </c>
      <c r="F25" s="49"/>
      <c r="G25" s="49"/>
    </row>
    <row r="26" spans="2:7" ht="15" customHeight="1" x14ac:dyDescent="0.2">
      <c r="B26" s="20" t="str">
        <f>Inventory!B17</f>
        <v>Chicharap</v>
      </c>
      <c r="C26" s="21">
        <f>Inventory!F17</f>
        <v>50</v>
      </c>
      <c r="D26" s="21">
        <f>Inventory!G17</f>
        <v>15</v>
      </c>
      <c r="E26" s="50" t="str">
        <f>IF(Inventory!H17="REORDER","REORDER NOW","OK")</f>
        <v>OK</v>
      </c>
      <c r="F26" s="50"/>
      <c r="G26" s="50"/>
    </row>
    <row r="27" spans="2:7" ht="15" customHeight="1" x14ac:dyDescent="0.2">
      <c r="B27" s="17" t="str">
        <f>Inventory!B18</f>
        <v>Rice (per kg)</v>
      </c>
      <c r="C27" s="18">
        <f>Inventory!F18</f>
        <v>100</v>
      </c>
      <c r="D27" s="18">
        <f>Inventory!G18</f>
        <v>25</v>
      </c>
      <c r="E27" s="49" t="str">
        <f>IF(Inventory!H18="REORDER","REORDER NOW","OK")</f>
        <v>OK</v>
      </c>
      <c r="F27" s="49"/>
      <c r="G27" s="49"/>
    </row>
    <row r="28" spans="2:7" ht="15" customHeight="1" x14ac:dyDescent="0.2">
      <c r="B28" s="20" t="str">
        <f>Inventory!B19</f>
        <v>Egg (per piece)</v>
      </c>
      <c r="C28" s="21">
        <f>Inventory!F19</f>
        <v>200</v>
      </c>
      <c r="D28" s="21">
        <f>Inventory!G19</f>
        <v>50</v>
      </c>
      <c r="E28" s="50" t="str">
        <f>IF(Inventory!H19="REORDER","REORDER NOW","OK")</f>
        <v>OK</v>
      </c>
      <c r="F28" s="50"/>
      <c r="G28" s="50"/>
    </row>
    <row r="29" spans="2:7" ht="14.25" customHeight="1" x14ac:dyDescent="0.2">
      <c r="B29" s="17" t="str">
        <f>Inventory!B20</f>
        <v>Datu Puti Vinegar 350ml</v>
      </c>
      <c r="C29" s="18">
        <f>Inventory!F20</f>
        <v>18</v>
      </c>
      <c r="D29" s="18">
        <f>Inventory!G20</f>
        <v>8</v>
      </c>
      <c r="E29" s="49" t="str">
        <f>IF(Inventory!H20="REORDER","REORDER NOW","OK")</f>
        <v>OK</v>
      </c>
      <c r="F29" s="49"/>
      <c r="G29" s="49"/>
    </row>
    <row r="30" spans="2:7" ht="15" customHeight="1" x14ac:dyDescent="0.2">
      <c r="B30" s="20" t="str">
        <f>Inventory!B21</f>
        <v>Silver Swan Soy Sauce 350ml</v>
      </c>
      <c r="C30" s="21">
        <f>Inventory!F21</f>
        <v>22</v>
      </c>
      <c r="D30" s="21">
        <f>Inventory!G21</f>
        <v>8</v>
      </c>
      <c r="E30" s="50" t="str">
        <f>IF(Inventory!H21="REORDER","REORDER NOW","OK")</f>
        <v>OK</v>
      </c>
      <c r="F30" s="50"/>
      <c r="G30" s="50"/>
    </row>
    <row r="32" spans="2:7" ht="24" customHeight="1" x14ac:dyDescent="0.2">
      <c r="B32" s="51" t="s">
        <v>13</v>
      </c>
      <c r="C32" s="51"/>
      <c r="D32" s="51"/>
      <c r="E32" s="51"/>
      <c r="F32" s="51"/>
      <c r="G32" s="51"/>
    </row>
    <row r="50" spans="1:7" ht="24" customHeight="1" x14ac:dyDescent="0.2">
      <c r="A50" s="23"/>
      <c r="B50" s="23"/>
      <c r="C50" s="23"/>
      <c r="D50" s="23"/>
      <c r="E50" s="23"/>
      <c r="F50" s="23"/>
      <c r="G50" s="23"/>
    </row>
    <row r="51" spans="1:7" ht="24" customHeight="1" x14ac:dyDescent="0.2">
      <c r="A51" s="23"/>
      <c r="B51" s="51" t="s">
        <v>14</v>
      </c>
      <c r="C51" s="51"/>
      <c r="D51" s="51"/>
      <c r="E51" s="51"/>
      <c r="F51" s="51"/>
      <c r="G51" s="51"/>
    </row>
    <row r="52" spans="1:7" ht="19.5" customHeight="1" x14ac:dyDescent="0.2">
      <c r="A52" s="23"/>
      <c r="B52" s="23"/>
      <c r="C52" s="23"/>
      <c r="D52" s="23"/>
      <c r="E52" s="23"/>
      <c r="F52" s="23"/>
      <c r="G52" s="23"/>
    </row>
    <row r="53" spans="1:7" ht="19.5" customHeight="1" x14ac:dyDescent="0.2">
      <c r="A53" s="23"/>
      <c r="B53" s="23"/>
      <c r="C53" s="23"/>
      <c r="D53" s="23"/>
      <c r="E53" s="23"/>
      <c r="F53" s="23"/>
      <c r="G53" s="23"/>
    </row>
    <row r="54" spans="1:7" ht="19.5" customHeight="1" x14ac:dyDescent="0.2">
      <c r="A54" s="23"/>
      <c r="B54" s="23"/>
      <c r="C54" s="23"/>
      <c r="D54" s="23"/>
      <c r="E54" s="23"/>
      <c r="F54" s="23"/>
      <c r="G54" s="23"/>
    </row>
    <row r="55" spans="1:7" ht="19.5" customHeight="1" x14ac:dyDescent="0.2">
      <c r="A55" s="23"/>
      <c r="B55" s="23"/>
      <c r="C55" s="23"/>
      <c r="D55" s="23"/>
      <c r="E55" s="23"/>
      <c r="F55" s="23"/>
      <c r="G55" s="23"/>
    </row>
    <row r="56" spans="1:7" ht="19.5" customHeight="1" x14ac:dyDescent="0.2">
      <c r="A56" s="23"/>
      <c r="B56" s="23"/>
      <c r="C56" s="23"/>
      <c r="D56" s="23"/>
      <c r="E56" s="23"/>
      <c r="F56" s="23"/>
      <c r="G56" s="23"/>
    </row>
  </sheetData>
  <mergeCells count="36">
    <mergeCell ref="E28:G28"/>
    <mergeCell ref="E29:G29"/>
    <mergeCell ref="E30:G30"/>
    <mergeCell ref="B32:G32"/>
    <mergeCell ref="B51:G51"/>
    <mergeCell ref="E23:G23"/>
    <mergeCell ref="E24:G24"/>
    <mergeCell ref="E25:G25"/>
    <mergeCell ref="E26:G26"/>
    <mergeCell ref="E27:G27"/>
    <mergeCell ref="E18:G18"/>
    <mergeCell ref="E19:G19"/>
    <mergeCell ref="E20:G20"/>
    <mergeCell ref="E21:G21"/>
    <mergeCell ref="E22:G22"/>
    <mergeCell ref="E13:G13"/>
    <mergeCell ref="E14:G14"/>
    <mergeCell ref="E15:G15"/>
    <mergeCell ref="E16:G16"/>
    <mergeCell ref="E17:G17"/>
    <mergeCell ref="B9:C9"/>
    <mergeCell ref="D9:E9"/>
    <mergeCell ref="F9:G9"/>
    <mergeCell ref="B11:G11"/>
    <mergeCell ref="E12:G12"/>
    <mergeCell ref="B6:C6"/>
    <mergeCell ref="D6:E6"/>
    <mergeCell ref="F6:G6"/>
    <mergeCell ref="B8:C8"/>
    <mergeCell ref="D8:E8"/>
    <mergeCell ref="F8:G8"/>
    <mergeCell ref="B2:G2"/>
    <mergeCell ref="B3:G3"/>
    <mergeCell ref="B5:C5"/>
    <mergeCell ref="D5:E5"/>
    <mergeCell ref="F5:G5"/>
  </mergeCells>
  <conditionalFormatting sqref="C13:C30">
    <cfRule type="expression" dxfId="13" priority="4">
      <formula>C13&lt;=D13</formula>
    </cfRule>
  </conditionalFormatting>
  <conditionalFormatting sqref="E13:E30">
    <cfRule type="cellIs" dxfId="12" priority="2" operator="equal">
      <formula>"OK"</formula>
    </cfRule>
    <cfRule type="cellIs" dxfId="11" priority="3" operator="equal">
      <formula>"REORDER NOW"</formula>
    </cfRule>
  </conditionalFormatting>
  <pageMargins left="0.75" right="0.75" top="1" bottom="1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0"/>
  <sheetViews>
    <sheetView zoomScale="71" zoomScaleNormal="71" workbookViewId="0">
      <pane ySplit="3" topLeftCell="A4" activePane="bottomLeft" state="frozen"/>
      <selection activeCell="B1" sqref="B1"/>
      <selection pane="bottomLeft" activeCell="D3" sqref="D3"/>
    </sheetView>
  </sheetViews>
  <sheetFormatPr defaultColWidth="8.609375" defaultRowHeight="15" x14ac:dyDescent="0.2"/>
  <cols>
    <col min="1" max="1" width="11.97265625" style="15" customWidth="1"/>
    <col min="2" max="2" width="9.953125" style="15" customWidth="1"/>
    <col min="3" max="3" width="9.01171875" style="15" customWidth="1"/>
    <col min="4" max="4" width="11.02734375" style="15" customWidth="1"/>
    <col min="5" max="5" width="27.98046875" style="15" customWidth="1"/>
    <col min="6" max="6" width="6.9921875" style="15" customWidth="1"/>
    <col min="7" max="7" width="13.046875" style="15" customWidth="1"/>
    <col min="8" max="8" width="13.98828125" style="15" customWidth="1"/>
    <col min="9" max="10" width="11.97265625" style="15" customWidth="1"/>
    <col min="11" max="11" width="9.01171875" style="15" customWidth="1"/>
    <col min="12" max="12" width="18.0234375" style="15" customWidth="1"/>
    <col min="13" max="25" width="8.609375" style="24"/>
    <col min="26" max="26" width="11.56640625" style="15" hidden="1" customWidth="1"/>
  </cols>
  <sheetData>
    <row r="1" spans="1:26" ht="33.75" customHeight="1" x14ac:dyDescent="0.2">
      <c r="A1" s="52" t="s">
        <v>15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26" ht="15" customHeight="1" x14ac:dyDescent="0.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26" ht="27.75" customHeight="1" x14ac:dyDescent="0.2">
      <c r="A3" s="25" t="s">
        <v>16</v>
      </c>
      <c r="B3" s="25" t="s">
        <v>17</v>
      </c>
      <c r="C3" s="25" t="s">
        <v>18</v>
      </c>
      <c r="D3" s="25" t="s">
        <v>19</v>
      </c>
      <c r="E3" s="25" t="s">
        <v>9</v>
      </c>
      <c r="F3" s="25" t="s">
        <v>20</v>
      </c>
      <c r="G3" s="25" t="s">
        <v>21</v>
      </c>
      <c r="H3" s="25" t="s">
        <v>22</v>
      </c>
      <c r="I3" s="25" t="s">
        <v>23</v>
      </c>
      <c r="J3" s="25" t="s">
        <v>24</v>
      </c>
      <c r="K3" s="25" t="s">
        <v>25</v>
      </c>
      <c r="L3" s="25" t="s">
        <v>26</v>
      </c>
    </row>
    <row r="4" spans="1:26" ht="15" customHeight="1" x14ac:dyDescent="0.2">
      <c r="A4" s="26">
        <f ca="1">IF(D4="","",IF(N(A4)=0,TODAY(),A4))</f>
        <v>46302</v>
      </c>
      <c r="B4" s="27">
        <f ca="1">IF(D4="","",IF(N(B4)=0,ROUND(MOD(NOW(),1)*1440,0)/1440,B4))</f>
        <v>0.19722222222222199</v>
      </c>
      <c r="C4" s="22" t="str">
        <f>IF(D4="","","T"&amp;(1000+COUNTIF($D$4:D4,"&lt;&gt;")))</f>
        <v>T1001</v>
      </c>
      <c r="D4" s="22" t="s">
        <v>27</v>
      </c>
      <c r="E4" s="20" t="str">
        <f>IF(D4="","",VLOOKUP(D4,Inventory!$A$4:$I$21,2,FALSE()))</f>
        <v>Coke Mismo 300ml</v>
      </c>
      <c r="F4" s="21">
        <v>5</v>
      </c>
      <c r="G4" s="28">
        <f>IF(D4="","",VLOOKUP(D4,Inventory!$A$4:$I$21,5,FALSE()))</f>
        <v>25</v>
      </c>
      <c r="H4" s="28">
        <f>IF(OR(D4="",F4=""),"",F4*G4)</f>
        <v>125</v>
      </c>
      <c r="I4" s="28">
        <f>IF(OR(D4="",F4=""),"",F4*VLOOKUP(D4,Inventory!$A$4:$I$21,4,FALSE()))</f>
        <v>90</v>
      </c>
      <c r="J4" s="28">
        <f>IF(H4="","",H4-I4)</f>
        <v>35</v>
      </c>
      <c r="K4" s="22" t="s">
        <v>28</v>
      </c>
      <c r="L4" s="20"/>
      <c r="Z4" s="15" t="str">
        <f>IF(K4="Credit",COUNTIF(K$4:K4,"Credit"),"")</f>
        <v/>
      </c>
    </row>
    <row r="5" spans="1:26" ht="15" customHeight="1" x14ac:dyDescent="0.2">
      <c r="A5" s="26">
        <f ca="1">IF(D5="","",IF(N(A5)=0,TODAY(),A5))</f>
        <v>46302</v>
      </c>
      <c r="B5" s="27">
        <f ca="1">IF(D5="","",IF(N(B5)=0,ROUND(MOD(NOW(),1)*1440,0)/1440,B5))</f>
        <v>0.19722222222222199</v>
      </c>
      <c r="C5" s="22" t="str">
        <f>IF(D5="","","T"&amp;(1000+COUNTIF($D$4:D5,"&lt;&gt;")))</f>
        <v>T1002</v>
      </c>
      <c r="D5" s="22" t="s">
        <v>29</v>
      </c>
      <c r="E5" s="20" t="str">
        <f>IF(D5="","",VLOOKUP(D5,Inventory!$A$4:$I$21,2,FALSE()))</f>
        <v>Royal Tru-Orange 300ml</v>
      </c>
      <c r="F5" s="21">
        <v>6</v>
      </c>
      <c r="G5" s="28">
        <f>IF(D5="","",VLOOKUP(D5,Inventory!$A$4:$I$21,5,FALSE()))</f>
        <v>25</v>
      </c>
      <c r="H5" s="28">
        <f>IF(OR(D5="",F5=""),"",F5*G5)</f>
        <v>150</v>
      </c>
      <c r="I5" s="28">
        <f>IF(OR(D5="",F5=""),"",F5*VLOOKUP(D5,Inventory!$A$4:$I$21,4,FALSE()))</f>
        <v>108</v>
      </c>
      <c r="J5" s="28">
        <f>IF(H5="","",H5-I5)</f>
        <v>42</v>
      </c>
      <c r="K5" s="22" t="s">
        <v>28</v>
      </c>
      <c r="L5" s="20"/>
      <c r="Z5" s="15" t="str">
        <f>IF(K5="Credit",COUNTIF(K$4:K5,"Credit"),"")</f>
        <v/>
      </c>
    </row>
    <row r="6" spans="1:26" ht="15" customHeight="1" x14ac:dyDescent="0.2">
      <c r="A6" s="29">
        <f ca="1">IF(D6="","",IF(N(A6)=0,TODAY(),A6))</f>
        <v>46302</v>
      </c>
      <c r="B6" s="30">
        <f ca="1">IF(D6="","",IF(N(B6)=0,ROUND(MOD(NOW(),1)*1440,0)/1440,B6))</f>
        <v>0.19722222222222199</v>
      </c>
      <c r="C6" s="19" t="str">
        <f>IF(D6="","","T"&amp;(1000+COUNTIF($D$4:D6,"&lt;&gt;")))</f>
        <v>T1003</v>
      </c>
      <c r="D6" s="19" t="s">
        <v>30</v>
      </c>
      <c r="E6" s="17" t="str">
        <f>IF(D6="","",VLOOKUP(D6,Inventory!$A$4:$I$21,2,FALSE()))</f>
        <v>Lucky Me Instant Mami</v>
      </c>
      <c r="F6" s="18">
        <v>2</v>
      </c>
      <c r="G6" s="31">
        <f>IF(D6="","",VLOOKUP(D6,Inventory!$A$4:$I$21,5,FALSE()))</f>
        <v>13</v>
      </c>
      <c r="H6" s="31">
        <f>IF(OR(D6="",F6=""),"",F6*G6)</f>
        <v>26</v>
      </c>
      <c r="I6" s="31">
        <f>IF(OR(D6="",F6=""),"",F6*VLOOKUP(D6,Inventory!$A$4:$I$21,4,FALSE()))</f>
        <v>18</v>
      </c>
      <c r="J6" s="31">
        <f>IF(H6="","",H6-I6)</f>
        <v>8</v>
      </c>
      <c r="K6" s="19" t="s">
        <v>31</v>
      </c>
      <c r="L6" s="17" t="s">
        <v>32</v>
      </c>
      <c r="Z6" s="15">
        <f>IF(K6="Credit",COUNTIF(K$4:K6,"Credit"),"")</f>
        <v>1</v>
      </c>
    </row>
    <row r="7" spans="1:26" ht="15" customHeight="1" x14ac:dyDescent="0.2">
      <c r="A7" s="26" t="str">
        <f ca="1">IF(D7="","",IF(N(A7)=0,TODAY(),A7))</f>
        <v/>
      </c>
      <c r="B7" s="27" t="str">
        <f ca="1">IF(D7="","",IF(N(B7)=0,ROUND(MOD(NOW(),1)*1440,0)/1440,B7))</f>
        <v/>
      </c>
      <c r="C7" s="22" t="str">
        <f>IF(D7="","","T"&amp;(1000+COUNTIF($D$4:D7,"&lt;&gt;")))</f>
        <v/>
      </c>
      <c r="D7" s="22"/>
      <c r="E7" s="20" t="str">
        <f>IF(D7="","",VLOOKUP(D7,Inventory!$A$4:$I$21,2,FALSE()))</f>
        <v/>
      </c>
      <c r="F7" s="21"/>
      <c r="G7" s="28" t="str">
        <f>IF(D7="","",VLOOKUP(D7,Inventory!$A$4:$I$21,5,FALSE()))</f>
        <v/>
      </c>
      <c r="H7" s="28" t="str">
        <f>IF(OR(D7="",F7=""),"",F7*G7)</f>
        <v/>
      </c>
      <c r="I7" s="28" t="str">
        <f>IF(OR(D7="",F7=""),"",F7*VLOOKUP(D7,Inventory!$A$4:$I$21,4,FALSE()))</f>
        <v/>
      </c>
      <c r="J7" s="28" t="str">
        <f>IF(H7="","",H7-I7)</f>
        <v/>
      </c>
      <c r="K7" s="22"/>
      <c r="L7" s="20"/>
      <c r="Z7" s="15" t="str">
        <f>IF(K7="Credit",COUNTIF(K$4:K7,"Credit"),"")</f>
        <v/>
      </c>
    </row>
    <row r="8" spans="1:26" ht="15" customHeight="1" x14ac:dyDescent="0.2">
      <c r="A8" s="29" t="str">
        <f ca="1">IF(D8="","",IF(N(A8)=0,TODAY(),A8))</f>
        <v/>
      </c>
      <c r="B8" s="30" t="str">
        <f ca="1">IF(D8="","",IF(N(B8)=0,ROUND(MOD(NOW(),1)*1440,0)/1440,B8))</f>
        <v/>
      </c>
      <c r="C8" s="19" t="str">
        <f>IF(D8="","","T"&amp;(1000+COUNTIF($D$4:D8,"&lt;&gt;")))</f>
        <v/>
      </c>
      <c r="D8" s="19"/>
      <c r="E8" s="17" t="str">
        <f>IF(D8="","",VLOOKUP(D8,Inventory!$A$4:$I$21,2,FALSE()))</f>
        <v/>
      </c>
      <c r="F8" s="18"/>
      <c r="G8" s="31" t="str">
        <f>IF(D8="","",VLOOKUP(D8,Inventory!$A$4:$I$21,5,FALSE()))</f>
        <v/>
      </c>
      <c r="H8" s="31" t="str">
        <f>IF(OR(D8="",F8=""),"",F8*G8)</f>
        <v/>
      </c>
      <c r="I8" s="31" t="str">
        <f>IF(OR(D8="",F8=""),"",F8*VLOOKUP(D8,Inventory!$A$4:$I$21,4,FALSE()))</f>
        <v/>
      </c>
      <c r="J8" s="31" t="str">
        <f>IF(H8="","",H8-I8)</f>
        <v/>
      </c>
      <c r="K8" s="19"/>
      <c r="L8" s="17"/>
      <c r="Z8" s="15" t="str">
        <f>IF(K8="Credit",COUNTIF(K$4:K8,"Credit"),"")</f>
        <v/>
      </c>
    </row>
    <row r="9" spans="1:26" ht="15" customHeight="1" x14ac:dyDescent="0.2">
      <c r="A9" s="26" t="str">
        <f ca="1">IF(D9="","",IF(N(A9)=0,TODAY(),A9))</f>
        <v/>
      </c>
      <c r="B9" s="27" t="str">
        <f ca="1">IF(D9="","",IF(N(B9)=0,ROUND(MOD(NOW(),1)*1440,0)/1440,B9))</f>
        <v/>
      </c>
      <c r="C9" s="22" t="str">
        <f>IF(D9="","","T"&amp;(1000+COUNTIF($D$4:D9,"&lt;&gt;")))</f>
        <v/>
      </c>
      <c r="D9" s="22"/>
      <c r="E9" s="20" t="str">
        <f>IF(D9="","",VLOOKUP(D9,Inventory!$A$4:$I$21,2,FALSE()))</f>
        <v/>
      </c>
      <c r="F9" s="21"/>
      <c r="G9" s="28" t="str">
        <f>IF(D9="","",VLOOKUP(D9,Inventory!$A$4:$I$21,5,FALSE()))</f>
        <v/>
      </c>
      <c r="H9" s="28" t="str">
        <f>IF(OR(D9="",F9=""),"",F9*G9)</f>
        <v/>
      </c>
      <c r="I9" s="28" t="str">
        <f>IF(OR(D9="",F9=""),"",F9*VLOOKUP(D9,Inventory!$A$4:$I$21,4,FALSE()))</f>
        <v/>
      </c>
      <c r="J9" s="28" t="str">
        <f>IF(H9="","",H9-I9)</f>
        <v/>
      </c>
      <c r="K9" s="22"/>
      <c r="L9" s="20"/>
      <c r="Z9" s="15" t="str">
        <f>IF(K9="Credit",COUNTIF(K$4:K9,"Credit"),"")</f>
        <v/>
      </c>
    </row>
    <row r="10" spans="1:26" ht="15" customHeight="1" x14ac:dyDescent="0.2">
      <c r="A10" s="29" t="str">
        <f ca="1">IF(D10="","",IF(N(A10)=0,TODAY(),A10))</f>
        <v/>
      </c>
      <c r="B10" s="30" t="str">
        <f ca="1">IF(D10="","",IF(N(B10)=0,ROUND(MOD(NOW(),1)*1440,0)/1440,B10))</f>
        <v/>
      </c>
      <c r="C10" s="19" t="str">
        <f>IF(D10="","","T"&amp;(1000+COUNTIF($D$4:D10,"&lt;&gt;")))</f>
        <v/>
      </c>
      <c r="D10" s="19"/>
      <c r="E10" s="17" t="str">
        <f>IF(D10="","",VLOOKUP(D10,Inventory!$A$4:$I$21,2,FALSE()))</f>
        <v/>
      </c>
      <c r="F10" s="18"/>
      <c r="G10" s="31" t="str">
        <f>IF(D10="","",VLOOKUP(D10,Inventory!$A$4:$I$21,5,FALSE()))</f>
        <v/>
      </c>
      <c r="H10" s="31" t="str">
        <f>IF(OR(D10="",F10=""),"",F10*G10)</f>
        <v/>
      </c>
      <c r="I10" s="31" t="str">
        <f>IF(OR(D10="",F10=""),"",F10*VLOOKUP(D10,Inventory!$A$4:$I$21,4,FALSE()))</f>
        <v/>
      </c>
      <c r="J10" s="31" t="str">
        <f>IF(H10="","",H10-I10)</f>
        <v/>
      </c>
      <c r="K10" s="19"/>
      <c r="L10" s="17"/>
      <c r="Z10" s="15" t="str">
        <f>IF(K10="Credit",COUNTIF(K$4:K10,"Credit"),"")</f>
        <v/>
      </c>
    </row>
    <row r="11" spans="1:26" ht="15" customHeight="1" x14ac:dyDescent="0.2">
      <c r="A11" s="26" t="str">
        <f ca="1">IF(D11="","",IF(N(A11)=0,TODAY(),A11))</f>
        <v/>
      </c>
      <c r="B11" s="27" t="str">
        <f ca="1">IF(D11="","",IF(N(B11)=0,ROUND(MOD(NOW(),1)*1440,0)/1440,B11))</f>
        <v/>
      </c>
      <c r="C11" s="22" t="str">
        <f>IF(D11="","","T"&amp;(1000+COUNTIF($D$4:D11,"&lt;&gt;")))</f>
        <v/>
      </c>
      <c r="D11" s="22"/>
      <c r="E11" s="20" t="str">
        <f>IF(D11="","",VLOOKUP(D11,Inventory!$A$4:$I$21,2,FALSE()))</f>
        <v/>
      </c>
      <c r="F11" s="21"/>
      <c r="G11" s="28" t="str">
        <f>IF(D11="","",VLOOKUP(D11,Inventory!$A$4:$I$21,5,FALSE()))</f>
        <v/>
      </c>
      <c r="H11" s="28" t="str">
        <f>IF(OR(D11="",F11=""),"",F11*G11)</f>
        <v/>
      </c>
      <c r="I11" s="28" t="str">
        <f>IF(OR(D11="",F11=""),"",F11*VLOOKUP(D11,Inventory!$A$4:$I$21,4,FALSE()))</f>
        <v/>
      </c>
      <c r="J11" s="28" t="str">
        <f>IF(H11="","",H11-I11)</f>
        <v/>
      </c>
      <c r="K11" s="32"/>
      <c r="L11" s="20"/>
      <c r="Z11" s="15" t="str">
        <f>IF(K11="Credit",COUNTIF(K$4:K11,"Credit"),"")</f>
        <v/>
      </c>
    </row>
    <row r="12" spans="1:26" ht="15" customHeight="1" x14ac:dyDescent="0.2">
      <c r="A12" s="29" t="str">
        <f ca="1">IF(D12="","",IF(N(A12)=0,TODAY(),A12))</f>
        <v/>
      </c>
      <c r="B12" s="30" t="str">
        <f ca="1">IF(D12="","",IF(N(B12)=0,ROUND(MOD(NOW(),1)*1440,0)/1440,B12))</f>
        <v/>
      </c>
      <c r="C12" s="19" t="str">
        <f>IF(D12="","","T"&amp;(1000+COUNTIF($D$4:D12,"&lt;&gt;")))</f>
        <v/>
      </c>
      <c r="D12" s="19"/>
      <c r="E12" s="17" t="str">
        <f>IF(D12="","",VLOOKUP(D12,Inventory!$A$4:$I$21,2,FALSE()))</f>
        <v/>
      </c>
      <c r="F12" s="18"/>
      <c r="G12" s="31" t="str">
        <f>IF(D12="","",VLOOKUP(D12,Inventory!$A$4:$I$21,5,FALSE()))</f>
        <v/>
      </c>
      <c r="H12" s="31" t="str">
        <f>IF(OR(D12="",F12=""),"",F12*G12)</f>
        <v/>
      </c>
      <c r="I12" s="31" t="str">
        <f>IF(OR(D12="",F12=""),"",F12*VLOOKUP(D12,Inventory!$A$4:$I$21,4,FALSE()))</f>
        <v/>
      </c>
      <c r="J12" s="31" t="str">
        <f>IF(H12="","",H12-I12)</f>
        <v/>
      </c>
      <c r="K12" s="19"/>
      <c r="L12" s="17"/>
      <c r="Z12" s="15" t="str">
        <f>IF(K12="Credit",COUNTIF(K$4:K12,"Credit"),"")</f>
        <v/>
      </c>
    </row>
    <row r="13" spans="1:26" ht="15" customHeight="1" x14ac:dyDescent="0.2">
      <c r="A13" s="26" t="str">
        <f ca="1">IF(D13="","",IF(N(A13)=0,TODAY(),A13))</f>
        <v/>
      </c>
      <c r="B13" s="27" t="str">
        <f ca="1">IF(D13="","",IF(N(B13)=0,ROUND(MOD(NOW(),1)*1440,0)/1440,B13))</f>
        <v/>
      </c>
      <c r="C13" s="22" t="str">
        <f>IF(D13="","","T"&amp;(1000+COUNTIF($D$4:D13,"&lt;&gt;")))</f>
        <v/>
      </c>
      <c r="D13" s="22"/>
      <c r="E13" s="20" t="str">
        <f>IF(D13="","",VLOOKUP(D13,Inventory!$A$4:$I$21,2,FALSE()))</f>
        <v/>
      </c>
      <c r="F13" s="21"/>
      <c r="G13" s="28" t="str">
        <f>IF(D13="","",VLOOKUP(D13,Inventory!$A$4:$I$21,5,FALSE()))</f>
        <v/>
      </c>
      <c r="H13" s="28" t="str">
        <f>IF(OR(D13="",F13=""),"",F13*G13)</f>
        <v/>
      </c>
      <c r="I13" s="28" t="str">
        <f>IF(OR(D13="",F13=""),"",F13*VLOOKUP(D13,Inventory!$A$4:$I$21,4,FALSE()))</f>
        <v/>
      </c>
      <c r="J13" s="28" t="str">
        <f>IF(H13="","",H13-I13)</f>
        <v/>
      </c>
      <c r="K13" s="32"/>
      <c r="L13" s="20"/>
      <c r="Z13" s="15" t="str">
        <f>IF(K13="Credit",COUNTIF(K$4:K13,"Credit"),"")</f>
        <v/>
      </c>
    </row>
    <row r="14" spans="1:26" ht="15" customHeight="1" x14ac:dyDescent="0.2">
      <c r="A14" s="29" t="str">
        <f ca="1">IF(D14="","",IF(N(A14)=0,TODAY(),A14))</f>
        <v/>
      </c>
      <c r="B14" s="30" t="str">
        <f ca="1">IF(D14="","",IF(N(B14)=0,ROUND(MOD(NOW(),1)*1440,0)/1440,B14))</f>
        <v/>
      </c>
      <c r="C14" s="19" t="str">
        <f>IF(D14="","","T"&amp;(1000+COUNTIF($D$4:D14,"&lt;&gt;")))</f>
        <v/>
      </c>
      <c r="D14" s="19"/>
      <c r="E14" s="17" t="str">
        <f>IF(D14="","",VLOOKUP(D14,Inventory!$A$4:$I$21,2,FALSE()))</f>
        <v/>
      </c>
      <c r="F14" s="18"/>
      <c r="G14" s="31" t="str">
        <f>IF(D14="","",VLOOKUP(D14,Inventory!$A$4:$I$21,5,FALSE()))</f>
        <v/>
      </c>
      <c r="H14" s="31" t="str">
        <f>IF(OR(D14="",F14=""),"",F14*G14)</f>
        <v/>
      </c>
      <c r="I14" s="31" t="str">
        <f>IF(OR(D14="",F14=""),"",F14*VLOOKUP(D14,Inventory!$A$4:$I$21,4,FALSE()))</f>
        <v/>
      </c>
      <c r="J14" s="31" t="str">
        <f>IF(H14="","",H14-I14)</f>
        <v/>
      </c>
      <c r="K14" s="19"/>
      <c r="L14" s="17"/>
      <c r="Z14" s="15" t="str">
        <f>IF(K14="Credit",COUNTIF(K$4:K14,"Credit"),"")</f>
        <v/>
      </c>
    </row>
    <row r="15" spans="1:26" ht="15" customHeight="1" x14ac:dyDescent="0.2">
      <c r="A15" s="26" t="str">
        <f ca="1">IF(D15="","",IF(N(A15)=0,TODAY(),A15))</f>
        <v/>
      </c>
      <c r="B15" s="27" t="str">
        <f ca="1">IF(D15="","",IF(N(B15)=0,ROUND(MOD(NOW(),1)*1440,0)/1440,B15))</f>
        <v/>
      </c>
      <c r="C15" s="22" t="str">
        <f>IF(D15="","","T"&amp;(1000+COUNTIF($D$4:D15,"&lt;&gt;")))</f>
        <v/>
      </c>
      <c r="D15" s="22"/>
      <c r="E15" s="20" t="str">
        <f>IF(D15="","",VLOOKUP(D15,Inventory!$A$4:$I$21,2,FALSE()))</f>
        <v/>
      </c>
      <c r="F15" s="21"/>
      <c r="G15" s="28" t="str">
        <f>IF(D15="","",VLOOKUP(D15,Inventory!$A$4:$I$21,5,FALSE()))</f>
        <v/>
      </c>
      <c r="H15" s="28" t="str">
        <f>IF(OR(D15="",F15=""),"",F15*G15)</f>
        <v/>
      </c>
      <c r="I15" s="28" t="str">
        <f>IF(OR(D15="",F15=""),"",F15*VLOOKUP(D15,Inventory!$A$4:$I$21,4,FALSE()))</f>
        <v/>
      </c>
      <c r="J15" s="28" t="str">
        <f>IF(H15="","",H15-I15)</f>
        <v/>
      </c>
      <c r="K15" s="22"/>
      <c r="L15" s="20"/>
      <c r="Z15" s="15" t="str">
        <f>IF(K15="Credit",COUNTIF(K$4:K15,"Credit"),"")</f>
        <v/>
      </c>
    </row>
    <row r="16" spans="1:26" ht="15" customHeight="1" x14ac:dyDescent="0.2">
      <c r="A16" s="29" t="str">
        <f ca="1">IF(D16="","",IF(N(A16)=0,TODAY(),A16))</f>
        <v/>
      </c>
      <c r="B16" s="30" t="str">
        <f ca="1">IF(D16="","",IF(N(B16)=0,ROUND(MOD(NOW(),1)*1440,0)/1440,B16))</f>
        <v/>
      </c>
      <c r="C16" s="19" t="str">
        <f>IF(D16="","","T"&amp;(1000+COUNTIF($D$4:D16,"&lt;&gt;")))</f>
        <v/>
      </c>
      <c r="D16" s="19"/>
      <c r="E16" s="17" t="str">
        <f>IF(D16="","",VLOOKUP(D16,Inventory!$A$4:$I$21,2,FALSE()))</f>
        <v/>
      </c>
      <c r="F16" s="18"/>
      <c r="G16" s="31" t="str">
        <f>IF(D16="","",VLOOKUP(D16,Inventory!$A$4:$I$21,5,FALSE()))</f>
        <v/>
      </c>
      <c r="H16" s="31" t="str">
        <f>IF(OR(D16="",F16=""),"",F16*G16)</f>
        <v/>
      </c>
      <c r="I16" s="31" t="str">
        <f>IF(OR(D16="",F16=""),"",F16*VLOOKUP(D16,Inventory!$A$4:$I$21,4,FALSE()))</f>
        <v/>
      </c>
      <c r="J16" s="31" t="str">
        <f>IF(H16="","",H16-I16)</f>
        <v/>
      </c>
      <c r="K16" s="19"/>
      <c r="L16" s="17"/>
      <c r="Z16" s="15" t="str">
        <f>IF(K16="Credit",COUNTIF(K$4:K16,"Credit"),"")</f>
        <v/>
      </c>
    </row>
    <row r="17" spans="1:26" ht="15" customHeight="1" x14ac:dyDescent="0.2">
      <c r="A17" s="26" t="str">
        <f ca="1">IF(D17="","",IF(N(A17)=0,TODAY(),A17))</f>
        <v/>
      </c>
      <c r="B17" s="27" t="str">
        <f ca="1">IF(D17="","",IF(N(B17)=0,ROUND(MOD(NOW(),1)*1440,0)/1440,B17))</f>
        <v/>
      </c>
      <c r="C17" s="22" t="str">
        <f>IF(D17="","","T"&amp;(1000+COUNTIF($D$4:D17,"&lt;&gt;")))</f>
        <v/>
      </c>
      <c r="D17" s="22"/>
      <c r="E17" s="20" t="str">
        <f>IF(D17="","",VLOOKUP(D17,Inventory!$A$4:$I$21,2,FALSE()))</f>
        <v/>
      </c>
      <c r="F17" s="21"/>
      <c r="G17" s="28" t="str">
        <f>IF(D17="","",VLOOKUP(D17,Inventory!$A$4:$I$21,5,FALSE()))</f>
        <v/>
      </c>
      <c r="H17" s="28" t="str">
        <f>IF(OR(D17="",F17=""),"",F17*G17)</f>
        <v/>
      </c>
      <c r="I17" s="28" t="str">
        <f>IF(OR(D17="",F17=""),"",F17*VLOOKUP(D17,Inventory!$A$4:$I$21,4,FALSE()))</f>
        <v/>
      </c>
      <c r="J17" s="28" t="str">
        <f>IF(H17="","",H17-I17)</f>
        <v/>
      </c>
      <c r="K17" s="22"/>
      <c r="L17" s="20"/>
      <c r="Z17" s="15" t="str">
        <f>IF(K17="Credit",COUNTIF(K$4:K17,"Credit"),"")</f>
        <v/>
      </c>
    </row>
    <row r="18" spans="1:26" ht="15" customHeight="1" x14ac:dyDescent="0.2">
      <c r="A18" s="29" t="str">
        <f ca="1">IF(D18="","",IF(N(A18)=0,TODAY(),A18))</f>
        <v/>
      </c>
      <c r="B18" s="30" t="str">
        <f ca="1">IF(D18="","",IF(N(B18)=0,ROUND(MOD(NOW(),1)*1440,0)/1440,B18))</f>
        <v/>
      </c>
      <c r="C18" s="19" t="str">
        <f>IF(D18="","","T"&amp;(1000+COUNTIF($D$4:D18,"&lt;&gt;")))</f>
        <v/>
      </c>
      <c r="D18" s="19"/>
      <c r="E18" s="17" t="str">
        <f>IF(D18="","",VLOOKUP(D18,Inventory!$A$4:$I$21,2,FALSE()))</f>
        <v/>
      </c>
      <c r="F18" s="18"/>
      <c r="G18" s="31" t="str">
        <f>IF(D18="","",VLOOKUP(D18,Inventory!$A$4:$I$21,5,FALSE()))</f>
        <v/>
      </c>
      <c r="H18" s="31" t="str">
        <f>IF(OR(D18="",F18=""),"",F18*G18)</f>
        <v/>
      </c>
      <c r="I18" s="31" t="str">
        <f>IF(OR(D18="",F18=""),"",F18*VLOOKUP(D18,Inventory!$A$4:$I$21,4,FALSE()))</f>
        <v/>
      </c>
      <c r="J18" s="31" t="str">
        <f>IF(H18="","",H18-I18)</f>
        <v/>
      </c>
      <c r="K18" s="19"/>
      <c r="L18" s="17"/>
      <c r="Z18" s="15" t="str">
        <f>IF(K18="Credit",COUNTIF(K$4:K18,"Credit"),"")</f>
        <v/>
      </c>
    </row>
    <row r="19" spans="1:26" ht="15" customHeight="1" x14ac:dyDescent="0.2">
      <c r="A19" s="26" t="str">
        <f ca="1">IF(D19="","",IF(N(A19)=0,TODAY(),A19))</f>
        <v/>
      </c>
      <c r="B19" s="27" t="str">
        <f ca="1">IF(D19="","",IF(N(B19)=0,ROUND(MOD(NOW(),1)*1440,0)/1440,B19))</f>
        <v/>
      </c>
      <c r="C19" s="22" t="str">
        <f>IF(D19="","","T"&amp;(1000+COUNTIF($D$4:D19,"&lt;&gt;")))</f>
        <v/>
      </c>
      <c r="D19" s="22"/>
      <c r="E19" s="20" t="str">
        <f>IF(D19="","",VLOOKUP(D19,Inventory!$A$4:$I$21,2,FALSE()))</f>
        <v/>
      </c>
      <c r="F19" s="21"/>
      <c r="G19" s="28" t="str">
        <f>IF(D19="","",VLOOKUP(D19,Inventory!$A$4:$I$21,5,FALSE()))</f>
        <v/>
      </c>
      <c r="H19" s="28" t="str">
        <f>IF(OR(D19="",F19=""),"",F19*G19)</f>
        <v/>
      </c>
      <c r="I19" s="28" t="str">
        <f>IF(OR(D19="",F19=""),"",F19*VLOOKUP(D19,Inventory!$A$4:$I$21,4,FALSE()))</f>
        <v/>
      </c>
      <c r="J19" s="28" t="str">
        <f>IF(H19="","",H19-I19)</f>
        <v/>
      </c>
      <c r="K19" s="22"/>
      <c r="L19" s="20"/>
      <c r="Z19" s="15" t="str">
        <f>IF(K19="Credit",COUNTIF(K$4:K19,"Credit"),"")</f>
        <v/>
      </c>
    </row>
    <row r="20" spans="1:26" ht="15" customHeight="1" x14ac:dyDescent="0.2">
      <c r="A20" s="29" t="str">
        <f ca="1">IF(D20="","",IF(N(A20)=0,TODAY(),A20))</f>
        <v/>
      </c>
      <c r="B20" s="30" t="str">
        <f ca="1">IF(D20="","",IF(N(B20)=0,ROUND(MOD(NOW(),1)*1440,0)/1440,B20))</f>
        <v/>
      </c>
      <c r="C20" s="19" t="str">
        <f>IF(D20="","","T"&amp;(1000+COUNTIF($D$4:D20,"&lt;&gt;")))</f>
        <v/>
      </c>
      <c r="D20" s="19"/>
      <c r="E20" s="17" t="str">
        <f>IF(D20="","",VLOOKUP(D20,Inventory!$A$4:$I$21,2,FALSE()))</f>
        <v/>
      </c>
      <c r="F20" s="18"/>
      <c r="G20" s="31" t="str">
        <f>IF(D20="","",VLOOKUP(D20,Inventory!$A$4:$I$21,5,FALSE()))</f>
        <v/>
      </c>
      <c r="H20" s="31" t="str">
        <f>IF(OR(D20="",F20=""),"",F20*G20)</f>
        <v/>
      </c>
      <c r="I20" s="31" t="str">
        <f>IF(OR(D20="",F20=""),"",F20*VLOOKUP(D20,Inventory!$A$4:$I$21,4,FALSE()))</f>
        <v/>
      </c>
      <c r="J20" s="31" t="str">
        <f>IF(H20="","",H20-I20)</f>
        <v/>
      </c>
      <c r="K20" s="19"/>
      <c r="L20" s="17"/>
      <c r="Z20" s="15" t="str">
        <f>IF(K20="Credit",COUNTIF(K$4:K20,"Credit"),"")</f>
        <v/>
      </c>
    </row>
    <row r="21" spans="1:26" ht="15" customHeight="1" x14ac:dyDescent="0.2">
      <c r="A21" s="26" t="str">
        <f ca="1">IF(D21="","",IF(N(A21)=0,TODAY(),A21))</f>
        <v/>
      </c>
      <c r="B21" s="27" t="str">
        <f ca="1">IF(D21="","",IF(N(B21)=0,ROUND(MOD(NOW(),1)*1440,0)/1440,B21))</f>
        <v/>
      </c>
      <c r="C21" s="22" t="str">
        <f>IF(D21="","","T"&amp;(1000+COUNTIF($D$4:D21,"&lt;&gt;")))</f>
        <v/>
      </c>
      <c r="D21" s="22"/>
      <c r="E21" s="20" t="str">
        <f>IF(D21="","",VLOOKUP(D21,Inventory!$A$4:$I$21,2,FALSE()))</f>
        <v/>
      </c>
      <c r="F21" s="21"/>
      <c r="G21" s="28" t="str">
        <f>IF(D21="","",VLOOKUP(D21,Inventory!$A$4:$I$21,5,FALSE()))</f>
        <v/>
      </c>
      <c r="H21" s="28" t="str">
        <f>IF(OR(D21="",F21=""),"",F21*G21)</f>
        <v/>
      </c>
      <c r="I21" s="28" t="str">
        <f>IF(OR(D21="",F21=""),"",F21*VLOOKUP(D21,Inventory!$A$4:$I$21,4,FALSE()))</f>
        <v/>
      </c>
      <c r="J21" s="28" t="str">
        <f>IF(H21="","",H21-I21)</f>
        <v/>
      </c>
      <c r="K21" s="22"/>
      <c r="L21" s="20"/>
      <c r="Z21" s="15" t="str">
        <f>IF(K21="Credit",COUNTIF(K$4:K21,"Credit"),"")</f>
        <v/>
      </c>
    </row>
    <row r="22" spans="1:26" ht="15" customHeight="1" x14ac:dyDescent="0.2">
      <c r="A22" s="29" t="str">
        <f ca="1">IF(D22="","",IF(N(A22)=0,TODAY(),A22))</f>
        <v/>
      </c>
      <c r="B22" s="30" t="str">
        <f ca="1">IF(D22="","",IF(N(B22)=0,ROUND(MOD(NOW(),1)*1440,0)/1440,B22))</f>
        <v/>
      </c>
      <c r="C22" s="19" t="str">
        <f>IF(D22="","","T"&amp;(1000+COUNTIF($D$4:D22,"&lt;&gt;")))</f>
        <v/>
      </c>
      <c r="D22" s="19"/>
      <c r="E22" s="17" t="str">
        <f>IF(D22="","",VLOOKUP(D22,Inventory!$A$4:$I$21,2,FALSE()))</f>
        <v/>
      </c>
      <c r="F22" s="18"/>
      <c r="G22" s="31" t="str">
        <f>IF(D22="","",VLOOKUP(D22,Inventory!$A$4:$I$21,5,FALSE()))</f>
        <v/>
      </c>
      <c r="H22" s="31" t="str">
        <f>IF(OR(D22="",F22=""),"",F22*G22)</f>
        <v/>
      </c>
      <c r="I22" s="31" t="str">
        <f>IF(OR(D22="",F22=""),"",F22*VLOOKUP(D22,Inventory!$A$4:$I$21,4,FALSE()))</f>
        <v/>
      </c>
      <c r="J22" s="31" t="str">
        <f>IF(H22="","",H22-I22)</f>
        <v/>
      </c>
      <c r="K22" s="19"/>
      <c r="L22" s="17"/>
      <c r="Z22" s="15" t="str">
        <f>IF(K22="Credit",COUNTIF(K$4:K22,"Credit"),"")</f>
        <v/>
      </c>
    </row>
    <row r="23" spans="1:26" ht="15" customHeight="1" x14ac:dyDescent="0.2">
      <c r="A23" s="26" t="str">
        <f ca="1">IF(D23="","",IF(N(A23)=0,TODAY(),A23))</f>
        <v/>
      </c>
      <c r="B23" s="27" t="str">
        <f ca="1">IF(D23="","",IF(N(B23)=0,ROUND(MOD(NOW(),1)*1440,0)/1440,B23))</f>
        <v/>
      </c>
      <c r="C23" s="22" t="str">
        <f>IF(D23="","","T"&amp;(1000+COUNTIF($D$4:D23,"&lt;&gt;")))</f>
        <v/>
      </c>
      <c r="D23" s="22"/>
      <c r="E23" s="20" t="str">
        <f>IF(D23="","",VLOOKUP(D23,Inventory!$A$4:$I$21,2,FALSE()))</f>
        <v/>
      </c>
      <c r="F23" s="21"/>
      <c r="G23" s="28" t="str">
        <f>IF(D23="","",VLOOKUP(D23,Inventory!$A$4:$I$21,5,FALSE()))</f>
        <v/>
      </c>
      <c r="H23" s="28" t="str">
        <f>IF(OR(D23="",F23=""),"",F23*G23)</f>
        <v/>
      </c>
      <c r="I23" s="28" t="str">
        <f>IF(OR(D23="",F23=""),"",F23*VLOOKUP(D23,Inventory!$A$4:$I$21,4,FALSE()))</f>
        <v/>
      </c>
      <c r="J23" s="28" t="str">
        <f>IF(H23="","",H23-I23)</f>
        <v/>
      </c>
      <c r="K23" s="22"/>
      <c r="L23" s="20"/>
      <c r="Z23" s="15" t="str">
        <f>IF(K23="Credit",COUNTIF(K$4:K23,"Credit"),"")</f>
        <v/>
      </c>
    </row>
    <row r="24" spans="1:26" ht="15" customHeight="1" x14ac:dyDescent="0.2">
      <c r="A24" s="29" t="str">
        <f ca="1">IF(D24="","",IF(N(A24)=0,TODAY(),A24))</f>
        <v/>
      </c>
      <c r="B24" s="30" t="str">
        <f ca="1">IF(D24="","",IF(N(B24)=0,ROUND(MOD(NOW(),1)*1440,0)/1440,B24))</f>
        <v/>
      </c>
      <c r="C24" s="19" t="str">
        <f>IF(D24="","","T"&amp;(1000+COUNTIF($D$4:D24,"&lt;&gt;")))</f>
        <v/>
      </c>
      <c r="D24" s="19"/>
      <c r="E24" s="17" t="str">
        <f>IF(D24="","",VLOOKUP(D24,Inventory!$A$4:$I$21,2,FALSE()))</f>
        <v/>
      </c>
      <c r="F24" s="18"/>
      <c r="G24" s="31" t="str">
        <f>IF(D24="","",VLOOKUP(D24,Inventory!$A$4:$I$21,5,FALSE()))</f>
        <v/>
      </c>
      <c r="H24" s="31" t="str">
        <f>IF(OR(D24="",F24=""),"",F24*G24)</f>
        <v/>
      </c>
      <c r="I24" s="31" t="str">
        <f>IF(OR(D24="",F24=""),"",F24*VLOOKUP(D24,Inventory!$A$4:$I$21,4,FALSE()))</f>
        <v/>
      </c>
      <c r="J24" s="31" t="str">
        <f>IF(H24="","",H24-I24)</f>
        <v/>
      </c>
      <c r="K24" s="19"/>
      <c r="L24" s="17"/>
      <c r="Z24" s="15" t="str">
        <f>IF(K24="Credit",COUNTIF(K$4:K24,"Credit"),"")</f>
        <v/>
      </c>
    </row>
    <row r="25" spans="1:26" ht="15" customHeight="1" x14ac:dyDescent="0.2">
      <c r="A25" s="26" t="str">
        <f ca="1">IF(D25="","",IF(N(A25)=0,TODAY(),A25))</f>
        <v/>
      </c>
      <c r="B25" s="27" t="str">
        <f ca="1">IF(D25="","",IF(N(B25)=0,ROUND(MOD(NOW(),1)*1440,0)/1440,B25))</f>
        <v/>
      </c>
      <c r="C25" s="22" t="str">
        <f>IF(D25="","","T"&amp;(1000+COUNTIF($D$4:D25,"&lt;&gt;")))</f>
        <v/>
      </c>
      <c r="D25" s="22"/>
      <c r="E25" s="20" t="str">
        <f>IF(D25="","",VLOOKUP(D25,Inventory!$A$4:$I$21,2,FALSE()))</f>
        <v/>
      </c>
      <c r="F25" s="21"/>
      <c r="G25" s="28" t="str">
        <f>IF(D25="","",VLOOKUP(D25,Inventory!$A$4:$I$21,5,FALSE()))</f>
        <v/>
      </c>
      <c r="H25" s="28" t="str">
        <f>IF(OR(D25="",F25=""),"",F25*G25)</f>
        <v/>
      </c>
      <c r="I25" s="28" t="str">
        <f>IF(OR(D25="",F25=""),"",F25*VLOOKUP(D25,Inventory!$A$4:$I$21,4,FALSE()))</f>
        <v/>
      </c>
      <c r="J25" s="28" t="str">
        <f>IF(H25="","",H25-I25)</f>
        <v/>
      </c>
      <c r="K25" s="22"/>
      <c r="L25" s="20"/>
      <c r="Z25" s="15" t="str">
        <f>IF(K25="Credit",COUNTIF(K$4:K25,"Credit"),"")</f>
        <v/>
      </c>
    </row>
    <row r="26" spans="1:26" ht="15" customHeight="1" x14ac:dyDescent="0.2">
      <c r="A26" s="29" t="str">
        <f ca="1">IF(D26="","",IF(N(A26)=0,TODAY(),A26))</f>
        <v/>
      </c>
      <c r="B26" s="30" t="str">
        <f ca="1">IF(D26="","",IF(N(B26)=0,ROUND(MOD(NOW(),1)*1440,0)/1440,B26))</f>
        <v/>
      </c>
      <c r="C26" s="19" t="str">
        <f>IF(D26="","","T"&amp;(1000+COUNTIF($D$4:D26,"&lt;&gt;")))</f>
        <v/>
      </c>
      <c r="D26" s="19"/>
      <c r="E26" s="17" t="str">
        <f>IF(D26="","",VLOOKUP(D26,Inventory!$A$4:$I$21,2,FALSE()))</f>
        <v/>
      </c>
      <c r="F26" s="18"/>
      <c r="G26" s="31" t="str">
        <f>IF(D26="","",VLOOKUP(D26,Inventory!$A$4:$I$21,5,FALSE()))</f>
        <v/>
      </c>
      <c r="H26" s="31" t="str">
        <f>IF(OR(D26="",F26=""),"",F26*G26)</f>
        <v/>
      </c>
      <c r="I26" s="31" t="str">
        <f>IF(OR(D26="",F26=""),"",F26*VLOOKUP(D26,Inventory!$A$4:$I$21,4,FALSE()))</f>
        <v/>
      </c>
      <c r="J26" s="31" t="str">
        <f>IF(H26="","",H26-I26)</f>
        <v/>
      </c>
      <c r="K26" s="19"/>
      <c r="L26" s="17"/>
      <c r="Z26" s="15" t="str">
        <f>IF(K26="Credit",COUNTIF(K$4:K26,"Credit"),"")</f>
        <v/>
      </c>
    </row>
    <row r="27" spans="1:26" ht="15" customHeight="1" x14ac:dyDescent="0.2">
      <c r="A27" s="26" t="str">
        <f ca="1">IF(D27="","",IF(N(A27)=0,TODAY(),A27))</f>
        <v/>
      </c>
      <c r="B27" s="27" t="str">
        <f ca="1">IF(D27="","",IF(N(B27)=0,ROUND(MOD(NOW(),1)*1440,0)/1440,B27))</f>
        <v/>
      </c>
      <c r="C27" s="22" t="str">
        <f>IF(D27="","","T"&amp;(1000+COUNTIF($D$4:D27,"&lt;&gt;")))</f>
        <v/>
      </c>
      <c r="D27" s="22"/>
      <c r="E27" s="20" t="str">
        <f>IF(D27="","",VLOOKUP(D27,Inventory!$A$4:$I$21,2,FALSE()))</f>
        <v/>
      </c>
      <c r="F27" s="21"/>
      <c r="G27" s="28" t="str">
        <f>IF(D27="","",VLOOKUP(D27,Inventory!$A$4:$I$21,5,FALSE()))</f>
        <v/>
      </c>
      <c r="H27" s="28" t="str">
        <f>IF(OR(D27="",F27=""),"",F27*G27)</f>
        <v/>
      </c>
      <c r="I27" s="28" t="str">
        <f>IF(OR(D27="",F27=""),"",F27*VLOOKUP(D27,Inventory!$A$4:$I$21,4,FALSE()))</f>
        <v/>
      </c>
      <c r="J27" s="28" t="str">
        <f>IF(H27="","",H27-I27)</f>
        <v/>
      </c>
      <c r="K27" s="22"/>
      <c r="L27" s="20"/>
      <c r="Z27" s="15" t="str">
        <f>IF(K27="Credit",COUNTIF(K$4:K27,"Credit"),"")</f>
        <v/>
      </c>
    </row>
    <row r="28" spans="1:26" ht="15" customHeight="1" x14ac:dyDescent="0.2">
      <c r="A28" s="29" t="str">
        <f ca="1">IF(D28="","",IF(N(A28)=0,TODAY(),A28))</f>
        <v/>
      </c>
      <c r="B28" s="30" t="str">
        <f ca="1">IF(D28="","",IF(N(B28)=0,ROUND(MOD(NOW(),1)*1440,0)/1440,B28))</f>
        <v/>
      </c>
      <c r="C28" s="19" t="str">
        <f>IF(D28="","","T"&amp;(1000+COUNTIF($D$4:D28,"&lt;&gt;")))</f>
        <v/>
      </c>
      <c r="D28" s="19"/>
      <c r="E28" s="17" t="str">
        <f>IF(D28="","",VLOOKUP(D28,Inventory!$A$4:$I$21,2,FALSE()))</f>
        <v/>
      </c>
      <c r="F28" s="18"/>
      <c r="G28" s="31" t="str">
        <f>IF(D28="","",VLOOKUP(D28,Inventory!$A$4:$I$21,5,FALSE()))</f>
        <v/>
      </c>
      <c r="H28" s="31" t="str">
        <f>IF(OR(D28="",F28=""),"",F28*G28)</f>
        <v/>
      </c>
      <c r="I28" s="31" t="str">
        <f>IF(OR(D28="",F28=""),"",F28*VLOOKUP(D28,Inventory!$A$4:$I$21,4,FALSE()))</f>
        <v/>
      </c>
      <c r="J28" s="31" t="str">
        <f>IF(H28="","",H28-I28)</f>
        <v/>
      </c>
      <c r="K28" s="19"/>
      <c r="L28" s="17"/>
      <c r="Z28" s="15" t="str">
        <f>IF(K28="Credit",COUNTIF(K$4:K28,"Credit"),"")</f>
        <v/>
      </c>
    </row>
    <row r="29" spans="1:26" ht="15" customHeight="1" x14ac:dyDescent="0.2">
      <c r="A29" s="26" t="str">
        <f ca="1">IF(D29="","",IF(N(A29)=0,TODAY(),A29))</f>
        <v/>
      </c>
      <c r="B29" s="27" t="str">
        <f ca="1">IF(D29="","",IF(N(B29)=0,ROUND(MOD(NOW(),1)*1440,0)/1440,B29))</f>
        <v/>
      </c>
      <c r="C29" s="22" t="str">
        <f>IF(D29="","","T"&amp;(1000+COUNTIF($D$4:D29,"&lt;&gt;")))</f>
        <v/>
      </c>
      <c r="D29" s="22"/>
      <c r="E29" s="20" t="str">
        <f>IF(D29="","",VLOOKUP(D29,Inventory!$A$4:$I$21,2,FALSE()))</f>
        <v/>
      </c>
      <c r="F29" s="21"/>
      <c r="G29" s="28" t="str">
        <f>IF(D29="","",VLOOKUP(D29,Inventory!$A$4:$I$21,5,FALSE()))</f>
        <v/>
      </c>
      <c r="H29" s="28" t="str">
        <f>IF(OR(D29="",F29=""),"",F29*G29)</f>
        <v/>
      </c>
      <c r="I29" s="28" t="str">
        <f>IF(OR(D29="",F29=""),"",F29*VLOOKUP(D29,Inventory!$A$4:$I$21,4,FALSE()))</f>
        <v/>
      </c>
      <c r="J29" s="28" t="str">
        <f>IF(H29="","",H29-I29)</f>
        <v/>
      </c>
      <c r="K29" s="22"/>
      <c r="L29" s="20"/>
      <c r="Z29" s="15" t="str">
        <f>IF(K29="Credit",COUNTIF(K$4:K29,"Credit"),"")</f>
        <v/>
      </c>
    </row>
    <row r="30" spans="1:26" ht="15" customHeight="1" x14ac:dyDescent="0.2">
      <c r="A30" s="29" t="str">
        <f ca="1">IF(D30="","",IF(N(A30)=0,TODAY(),A30))</f>
        <v/>
      </c>
      <c r="B30" s="30" t="str">
        <f ca="1">IF(D30="","",IF(N(B30)=0,ROUND(MOD(NOW(),1)*1440,0)/1440,B30))</f>
        <v/>
      </c>
      <c r="C30" s="19" t="str">
        <f>IF(D30="","","T"&amp;(1000+COUNTIF($D$4:D30,"&lt;&gt;")))</f>
        <v/>
      </c>
      <c r="D30" s="19"/>
      <c r="E30" s="17" t="str">
        <f>IF(D30="","",VLOOKUP(D30,Inventory!$A$4:$I$21,2,FALSE()))</f>
        <v/>
      </c>
      <c r="F30" s="18"/>
      <c r="G30" s="31" t="str">
        <f>IF(D30="","",VLOOKUP(D30,Inventory!$A$4:$I$21,5,FALSE()))</f>
        <v/>
      </c>
      <c r="H30" s="31" t="str">
        <f>IF(OR(D30="",F30=""),"",F30*G30)</f>
        <v/>
      </c>
      <c r="I30" s="31" t="str">
        <f>IF(OR(D30="",F30=""),"",F30*VLOOKUP(D30,Inventory!$A$4:$I$21,4,FALSE()))</f>
        <v/>
      </c>
      <c r="J30" s="31" t="str">
        <f>IF(H30="","",H30-I30)</f>
        <v/>
      </c>
      <c r="K30" s="19"/>
      <c r="L30" s="17"/>
      <c r="Z30" s="15" t="str">
        <f>IF(K30="Credit",COUNTIF(K$4:K30,"Credit"),"")</f>
        <v/>
      </c>
    </row>
    <row r="31" spans="1:26" ht="15" customHeight="1" x14ac:dyDescent="0.2">
      <c r="A31" s="26" t="str">
        <f ca="1">IF(D31="","",IF(N(A31)=0,TODAY(),A31))</f>
        <v/>
      </c>
      <c r="B31" s="27" t="str">
        <f ca="1">IF(D31="","",IF(N(B31)=0,ROUND(MOD(NOW(),1)*1440,0)/1440,B31))</f>
        <v/>
      </c>
      <c r="C31" s="22" t="str">
        <f>IF(D31="","","T"&amp;(1000+COUNTIF($D$4:D31,"&lt;&gt;")))</f>
        <v/>
      </c>
      <c r="D31" s="22"/>
      <c r="E31" s="20" t="str">
        <f>IF(D31="","",VLOOKUP(D31,Inventory!$A$4:$I$21,2,FALSE()))</f>
        <v/>
      </c>
      <c r="F31" s="21"/>
      <c r="G31" s="28" t="str">
        <f>IF(D31="","",VLOOKUP(D31,Inventory!$A$4:$I$21,5,FALSE()))</f>
        <v/>
      </c>
      <c r="H31" s="28" t="str">
        <f>IF(OR(D31="",F31=""),"",F31*G31)</f>
        <v/>
      </c>
      <c r="I31" s="28" t="str">
        <f>IF(OR(D31="",F31=""),"",F31*VLOOKUP(D31,Inventory!$A$4:$I$21,4,FALSE()))</f>
        <v/>
      </c>
      <c r="J31" s="28" t="str">
        <f>IF(H31="","",H31-I31)</f>
        <v/>
      </c>
      <c r="K31" s="22"/>
      <c r="L31" s="20"/>
      <c r="Z31" s="15" t="str">
        <f>IF(K31="Credit",COUNTIF(K$4:K31,"Credit"),"")</f>
        <v/>
      </c>
    </row>
    <row r="32" spans="1:26" ht="15" customHeight="1" x14ac:dyDescent="0.2">
      <c r="A32" s="29" t="str">
        <f ca="1">IF(D32="","",IF(N(A32)=0,TODAY(),A32))</f>
        <v/>
      </c>
      <c r="B32" s="30" t="str">
        <f ca="1">IF(D32="","",IF(N(B32)=0,ROUND(MOD(NOW(),1)*1440,0)/1440,B32))</f>
        <v/>
      </c>
      <c r="C32" s="19" t="str">
        <f>IF(D32="","","T"&amp;(1000+COUNTIF($D$4:D32,"&lt;&gt;")))</f>
        <v/>
      </c>
      <c r="D32" s="19"/>
      <c r="E32" s="17" t="str">
        <f>IF(D32="","",VLOOKUP(D32,Inventory!$A$4:$I$21,2,FALSE()))</f>
        <v/>
      </c>
      <c r="F32" s="18"/>
      <c r="G32" s="31" t="str">
        <f>IF(D32="","",VLOOKUP(D32,Inventory!$A$4:$I$21,5,FALSE()))</f>
        <v/>
      </c>
      <c r="H32" s="31" t="str">
        <f>IF(OR(D32="",F32=""),"",F32*G32)</f>
        <v/>
      </c>
      <c r="I32" s="31" t="str">
        <f>IF(OR(D32="",F32=""),"",F32*VLOOKUP(D32,Inventory!$A$4:$I$21,4,FALSE()))</f>
        <v/>
      </c>
      <c r="J32" s="31" t="str">
        <f>IF(H32="","",H32-I32)</f>
        <v/>
      </c>
      <c r="K32" s="19"/>
      <c r="L32" s="17"/>
      <c r="Z32" s="15" t="str">
        <f>IF(K32="Credit",COUNTIF(K$4:K32,"Credit"),"")</f>
        <v/>
      </c>
    </row>
    <row r="33" spans="1:26" ht="15" customHeight="1" x14ac:dyDescent="0.2">
      <c r="A33" s="26" t="str">
        <f ca="1">IF(D33="","",IF(N(A33)=0,TODAY(),A33))</f>
        <v/>
      </c>
      <c r="B33" s="27" t="str">
        <f ca="1">IF(D33="","",IF(N(B33)=0,ROUND(MOD(NOW(),1)*1440,0)/1440,B33))</f>
        <v/>
      </c>
      <c r="C33" s="22" t="str">
        <f>IF(D33="","","T"&amp;(1000+COUNTIF($D$4:D33,"&lt;&gt;")))</f>
        <v/>
      </c>
      <c r="D33" s="22"/>
      <c r="E33" s="20" t="str">
        <f>IF(D33="","",VLOOKUP(D33,Inventory!$A$4:$I$21,2,FALSE()))</f>
        <v/>
      </c>
      <c r="F33" s="21"/>
      <c r="G33" s="28" t="str">
        <f>IF(D33="","",VLOOKUP(D33,Inventory!$A$4:$I$21,5,FALSE()))</f>
        <v/>
      </c>
      <c r="H33" s="28" t="str">
        <f>IF(OR(D33="",F33=""),"",F33*G33)</f>
        <v/>
      </c>
      <c r="I33" s="28" t="str">
        <f>IF(OR(D33="",F33=""),"",F33*VLOOKUP(D33,Inventory!$A$4:$I$21,4,FALSE()))</f>
        <v/>
      </c>
      <c r="J33" s="28" t="str">
        <f>IF(H33="","",H33-I33)</f>
        <v/>
      </c>
      <c r="K33" s="33"/>
      <c r="L33" s="20"/>
      <c r="Z33" s="15" t="str">
        <f>IF(K33="Credit",COUNTIF(K$4:K33,"Credit"),"")</f>
        <v/>
      </c>
    </row>
    <row r="34" spans="1:26" ht="15" customHeight="1" x14ac:dyDescent="0.2">
      <c r="A34" s="29" t="str">
        <f ca="1">IF(D34="","",IF(N(A34)=0,TODAY(),A34))</f>
        <v/>
      </c>
      <c r="B34" s="30" t="str">
        <f ca="1">IF(D34="","",IF(N(B34)=0,ROUND(MOD(NOW(),1)*1440,0)/1440,B34))</f>
        <v/>
      </c>
      <c r="C34" s="19" t="str">
        <f>IF(D34="","","T"&amp;(1000+COUNTIF($D$4:D34,"&lt;&gt;")))</f>
        <v/>
      </c>
      <c r="D34" s="19"/>
      <c r="E34" s="17" t="str">
        <f>IF(D34="","",VLOOKUP(D34,Inventory!$A$4:$I$21,2,FALSE()))</f>
        <v/>
      </c>
      <c r="F34" s="18"/>
      <c r="G34" s="31" t="str">
        <f>IF(D34="","",VLOOKUP(D34,Inventory!$A$4:$I$21,5,FALSE()))</f>
        <v/>
      </c>
      <c r="H34" s="31" t="str">
        <f>IF(OR(D34="",F34=""),"",F34*G34)</f>
        <v/>
      </c>
      <c r="I34" s="31" t="str">
        <f>IF(OR(D34="",F34=""),"",F34*VLOOKUP(D34,Inventory!$A$4:$I$21,4,FALSE()))</f>
        <v/>
      </c>
      <c r="J34" s="31" t="str">
        <f>IF(H34="","",H34-I34)</f>
        <v/>
      </c>
      <c r="K34" s="34"/>
      <c r="L34" s="17"/>
      <c r="Z34" s="15" t="str">
        <f>IF(K34="Credit",COUNTIF(K$4:K34,"Credit"),"")</f>
        <v/>
      </c>
    </row>
    <row r="35" spans="1:26" ht="15" customHeight="1" x14ac:dyDescent="0.2">
      <c r="A35" s="29" t="str">
        <f ca="1">IF(D35="","",IF(N(A35)=0,TODAY(),A35))</f>
        <v/>
      </c>
      <c r="B35" s="30" t="str">
        <f ca="1">IF(D35="","",IF(N(B35)=0,ROUND(MOD(NOW(),1)*1440,0)/1440,B35))</f>
        <v/>
      </c>
      <c r="C35" s="19" t="str">
        <f>IF(D35="","","T"&amp;(1000+COUNTIF($D$4:D35,"&lt;&gt;")))</f>
        <v/>
      </c>
      <c r="D35" s="19"/>
      <c r="E35" s="17" t="str">
        <f>IF(D35="","",VLOOKUP(D35,Inventory!$A$4:$I$21,2,FALSE()))</f>
        <v/>
      </c>
      <c r="F35" s="18"/>
      <c r="G35" s="31" t="str">
        <f>IF(D35="","",VLOOKUP(D35,Inventory!$A$4:$I$21,5,FALSE()))</f>
        <v/>
      </c>
      <c r="H35" s="31" t="str">
        <f>IF(OR(D35="",F35=""),"",F35*G35)</f>
        <v/>
      </c>
      <c r="I35" s="31" t="str">
        <f>IF(OR(D35="",F35=""),"",F35*VLOOKUP(D35,Inventory!$A$4:$I$21,4,FALSE()))</f>
        <v/>
      </c>
      <c r="J35" s="31" t="str">
        <f>IF(H35="","",H35-I35)</f>
        <v/>
      </c>
      <c r="K35" s="19"/>
      <c r="L35" s="17"/>
      <c r="Z35" s="15" t="str">
        <f>IF(K35="Credit",COUNTIF(K$4:K35,"Credit"),"")</f>
        <v/>
      </c>
    </row>
    <row r="36" spans="1:26" ht="15" customHeight="1" x14ac:dyDescent="0.2">
      <c r="A36" s="29" t="str">
        <f ca="1">IF(D36="","",IF(N(A36)=0,TODAY(),A36))</f>
        <v/>
      </c>
      <c r="B36" s="30" t="str">
        <f ca="1">IF(D36="","",IF(N(B36)=0,ROUND(MOD(NOW(),1)*1440,0)/1440,B36))</f>
        <v/>
      </c>
      <c r="C36" s="19" t="str">
        <f>IF(D36="","","T"&amp;(1000+COUNTIF($D$4:D36,"&lt;&gt;")))</f>
        <v/>
      </c>
      <c r="D36" s="19"/>
      <c r="E36" s="17" t="str">
        <f>IF(D36="","",VLOOKUP(D36,Inventory!$A$4:$I$21,2,FALSE()))</f>
        <v/>
      </c>
      <c r="F36" s="18"/>
      <c r="G36" s="31" t="str">
        <f>IF(D36="","",VLOOKUP(D36,Inventory!$A$4:$I$21,5,FALSE()))</f>
        <v/>
      </c>
      <c r="H36" s="31" t="str">
        <f>IF(OR(D36="",F36=""),"",F36*G36)</f>
        <v/>
      </c>
      <c r="I36" s="31" t="str">
        <f>IF(OR(D36="",F36=""),"",F36*VLOOKUP(D36,Inventory!$A$4:$I$21,4,FALSE()))</f>
        <v/>
      </c>
      <c r="J36" s="31" t="str">
        <f>IF(H36="","",H36-I36)</f>
        <v/>
      </c>
      <c r="K36" s="19"/>
      <c r="L36" s="17"/>
      <c r="Z36" s="15" t="str">
        <f>IF(K36="Credit",COUNTIF(K$4:K36,"Credit"),"")</f>
        <v/>
      </c>
    </row>
    <row r="37" spans="1:26" ht="15" customHeight="1" x14ac:dyDescent="0.2">
      <c r="A37" s="29" t="str">
        <f ca="1">IF(D37="","",IF(N(A37)=0,TODAY(),A37))</f>
        <v/>
      </c>
      <c r="B37" s="30" t="str">
        <f ca="1">IF(D37="","",IF(N(B37)=0,ROUND(MOD(NOW(),1)*1440,0)/1440,B37))</f>
        <v/>
      </c>
      <c r="C37" s="19" t="str">
        <f>IF(D37="","","T"&amp;(1000+COUNTIF($D$4:D37,"&lt;&gt;")))</f>
        <v/>
      </c>
      <c r="D37" s="19"/>
      <c r="E37" s="17" t="str">
        <f>IF(D37="","",VLOOKUP(D37,Inventory!$A$4:$I$21,2,FALSE()))</f>
        <v/>
      </c>
      <c r="F37" s="18"/>
      <c r="G37" s="31" t="str">
        <f>IF(D37="","",VLOOKUP(D37,Inventory!$A$4:$I$21,5,FALSE()))</f>
        <v/>
      </c>
      <c r="H37" s="31" t="str">
        <f>IF(OR(D37="",F37=""),"",F37*G37)</f>
        <v/>
      </c>
      <c r="I37" s="31" t="str">
        <f>IF(OR(D37="",F37=""),"",F37*VLOOKUP(D37,Inventory!$A$4:$I$21,4,FALSE()))</f>
        <v/>
      </c>
      <c r="J37" s="31" t="str">
        <f>IF(H37="","",H37-I37)</f>
        <v/>
      </c>
      <c r="K37" s="19"/>
      <c r="L37" s="17"/>
      <c r="Z37" s="15" t="str">
        <f>IF(K37="Credit",COUNTIF(K$4:K37,"Credit"),"")</f>
        <v/>
      </c>
    </row>
    <row r="38" spans="1:26" ht="15" customHeight="1" x14ac:dyDescent="0.2">
      <c r="A38" s="29" t="str">
        <f ca="1">IF(D38="","",IF(N(A38)=0,TODAY(),A38))</f>
        <v/>
      </c>
      <c r="B38" s="30" t="str">
        <f ca="1">IF(D38="","",IF(N(B38)=0,ROUND(MOD(NOW(),1)*1440,0)/1440,B38))</f>
        <v/>
      </c>
      <c r="C38" s="19" t="str">
        <f>IF(D38="","","T"&amp;(1000+COUNTIF($D$4:D38,"&lt;&gt;")))</f>
        <v/>
      </c>
      <c r="D38" s="19"/>
      <c r="E38" s="17" t="str">
        <f>IF(D38="","",VLOOKUP(D38,Inventory!$A$4:$I$21,2,FALSE()))</f>
        <v/>
      </c>
      <c r="F38" s="18"/>
      <c r="G38" s="31" t="str">
        <f>IF(D38="","",VLOOKUP(D38,Inventory!$A$4:$I$21,5,FALSE()))</f>
        <v/>
      </c>
      <c r="H38" s="31" t="str">
        <f>IF(OR(D38="",F38=""),"",F38*G38)</f>
        <v/>
      </c>
      <c r="I38" s="31" t="str">
        <f>IF(OR(D38="",F38=""),"",F38*VLOOKUP(D38,Inventory!$A$4:$I$21,4,FALSE()))</f>
        <v/>
      </c>
      <c r="J38" s="31" t="str">
        <f>IF(H38="","",H38-I38)</f>
        <v/>
      </c>
      <c r="K38" s="19"/>
      <c r="L38" s="17"/>
      <c r="Z38" s="15" t="str">
        <f>IF(K38="Credit",COUNTIF(K$4:K38,"Credit"),"")</f>
        <v/>
      </c>
    </row>
    <row r="39" spans="1:26" ht="15" customHeight="1" x14ac:dyDescent="0.2">
      <c r="A39" s="29" t="str">
        <f ca="1">IF(D39="","",IF(N(A39)=0,TODAY(),A39))</f>
        <v/>
      </c>
      <c r="B39" s="30" t="str">
        <f ca="1">IF(D39="","",IF(N(B39)=0,ROUND(MOD(NOW(),1)*1440,0)/1440,B39))</f>
        <v/>
      </c>
      <c r="C39" s="19" t="str">
        <f>IF(D39="","","T"&amp;(1000+COUNTIF($D$4:D39,"&lt;&gt;")))</f>
        <v/>
      </c>
      <c r="D39" s="19"/>
      <c r="E39" s="17" t="str">
        <f>IF(D39="","",VLOOKUP(D39,Inventory!$A$4:$I$21,2,FALSE()))</f>
        <v/>
      </c>
      <c r="F39" s="18"/>
      <c r="G39" s="31" t="str">
        <f>IF(D39="","",VLOOKUP(D39,Inventory!$A$4:$I$21,5,FALSE()))</f>
        <v/>
      </c>
      <c r="H39" s="31" t="str">
        <f>IF(OR(D39="",F39=""),"",F39*G39)</f>
        <v/>
      </c>
      <c r="I39" s="31" t="str">
        <f>IF(OR(D39="",F39=""),"",F39*VLOOKUP(D39,Inventory!$A$4:$I$21,4,FALSE()))</f>
        <v/>
      </c>
      <c r="J39" s="31" t="str">
        <f>IF(H39="","",H39-I39)</f>
        <v/>
      </c>
      <c r="K39" s="19"/>
      <c r="L39" s="17"/>
      <c r="Z39" s="15" t="str">
        <f>IF(K39="Credit",COUNTIF(K$4:K39,"Credit"),"")</f>
        <v/>
      </c>
    </row>
    <row r="40" spans="1:26" ht="15" customHeight="1" x14ac:dyDescent="0.2">
      <c r="A40" s="29" t="str">
        <f ca="1">IF(D40="","",IF(N(A40)=0,TODAY(),A40))</f>
        <v/>
      </c>
      <c r="B40" s="30" t="str">
        <f ca="1">IF(D40="","",IF(N(B40)=0,ROUND(MOD(NOW(),1)*1440,0)/1440,B40))</f>
        <v/>
      </c>
      <c r="C40" s="19" t="str">
        <f>IF(D40="","","T"&amp;(1000+COUNTIF($D$4:D40,"&lt;&gt;")))</f>
        <v/>
      </c>
      <c r="D40" s="19"/>
      <c r="E40" s="17" t="str">
        <f>IF(D40="","",VLOOKUP(D40,Inventory!$A$4:$I$21,2,FALSE()))</f>
        <v/>
      </c>
      <c r="F40" s="18"/>
      <c r="G40" s="31" t="str">
        <f>IF(D40="","",VLOOKUP(D40,Inventory!$A$4:$I$21,5,FALSE()))</f>
        <v/>
      </c>
      <c r="H40" s="31" t="str">
        <f>IF(OR(D40="",F40=""),"",F40*G40)</f>
        <v/>
      </c>
      <c r="I40" s="31" t="str">
        <f>IF(OR(D40="",F40=""),"",F40*VLOOKUP(D40,Inventory!$A$4:$I$21,4,FALSE()))</f>
        <v/>
      </c>
      <c r="J40" s="31" t="str">
        <f>IF(H40="","",H40-I40)</f>
        <v/>
      </c>
      <c r="K40" s="19"/>
      <c r="L40" s="17"/>
      <c r="Z40" s="15" t="str">
        <f>IF(K40="Credit",COUNTIF(K$4:K40,"Credit"),"")</f>
        <v/>
      </c>
    </row>
    <row r="41" spans="1:26" ht="15" customHeight="1" x14ac:dyDescent="0.2">
      <c r="A41" s="29" t="str">
        <f ca="1">IF(D41="","",IF(N(A41)=0,TODAY(),A41))</f>
        <v/>
      </c>
      <c r="B41" s="30" t="str">
        <f ca="1">IF(D41="","",IF(N(B41)=0,ROUND(MOD(NOW(),1)*1440,0)/1440,B41))</f>
        <v/>
      </c>
      <c r="C41" s="19" t="str">
        <f>IF(D41="","","T"&amp;(1000+COUNTIF($D$4:D41,"&lt;&gt;")))</f>
        <v/>
      </c>
      <c r="D41" s="19"/>
      <c r="E41" s="17" t="str">
        <f>IF(D41="","",VLOOKUP(D41,Inventory!$A$4:$I$21,2,FALSE()))</f>
        <v/>
      </c>
      <c r="F41" s="18"/>
      <c r="G41" s="31" t="str">
        <f>IF(D41="","",VLOOKUP(D41,Inventory!$A$4:$I$21,5,FALSE()))</f>
        <v/>
      </c>
      <c r="H41" s="31" t="str">
        <f>IF(OR(D41="",F41=""),"",F41*G41)</f>
        <v/>
      </c>
      <c r="I41" s="31" t="str">
        <f>IF(OR(D41="",F41=""),"",F41*VLOOKUP(D41,Inventory!$A$4:$I$21,4,FALSE()))</f>
        <v/>
      </c>
      <c r="J41" s="31" t="str">
        <f>IF(H41="","",H41-I41)</f>
        <v/>
      </c>
      <c r="K41" s="19"/>
      <c r="L41" s="17"/>
      <c r="Z41" s="15" t="str">
        <f>IF(K41="Credit",COUNTIF(K$4:K41,"Credit"),"")</f>
        <v/>
      </c>
    </row>
    <row r="42" spans="1:26" ht="15" customHeight="1" x14ac:dyDescent="0.2">
      <c r="A42" s="29" t="str">
        <f ca="1">IF(D42="","",IF(N(A42)=0,TODAY(),A42))</f>
        <v/>
      </c>
      <c r="B42" s="30" t="str">
        <f ca="1">IF(D42="","",IF(N(B42)=0,ROUND(MOD(NOW(),1)*1440,0)/1440,B42))</f>
        <v/>
      </c>
      <c r="C42" s="19" t="str">
        <f>IF(D42="","","T"&amp;(1000+COUNTIF($D$4:D42,"&lt;&gt;")))</f>
        <v/>
      </c>
      <c r="D42" s="19"/>
      <c r="E42" s="17" t="str">
        <f>IF(D42="","",VLOOKUP(D42,Inventory!$A$4:$I$21,2,FALSE()))</f>
        <v/>
      </c>
      <c r="F42" s="18"/>
      <c r="G42" s="31" t="str">
        <f>IF(D42="","",VLOOKUP(D42,Inventory!$A$4:$I$21,5,FALSE()))</f>
        <v/>
      </c>
      <c r="H42" s="31" t="str">
        <f>IF(OR(D42="",F42=""),"",F42*G42)</f>
        <v/>
      </c>
      <c r="I42" s="31" t="str">
        <f>IF(OR(D42="",F42=""),"",F42*VLOOKUP(D42,Inventory!$A$4:$I$21,4,FALSE()))</f>
        <v/>
      </c>
      <c r="J42" s="31" t="str">
        <f>IF(H42="","",H42-I42)</f>
        <v/>
      </c>
      <c r="K42" s="19"/>
      <c r="L42" s="17"/>
      <c r="Z42" s="15" t="str">
        <f>IF(K42="Credit",COUNTIF(K$4:K42,"Credit"),"")</f>
        <v/>
      </c>
    </row>
    <row r="43" spans="1:26" ht="15" customHeight="1" x14ac:dyDescent="0.2">
      <c r="A43" s="29" t="str">
        <f ca="1">IF(D43="","",IF(N(A43)=0,TODAY(),A43))</f>
        <v/>
      </c>
      <c r="B43" s="30" t="str">
        <f ca="1">IF(D43="","",IF(N(B43)=0,ROUND(MOD(NOW(),1)*1440,0)/1440,B43))</f>
        <v/>
      </c>
      <c r="C43" s="19" t="str">
        <f>IF(D43="","","T"&amp;(1000+COUNTIF($D$4:D43,"&lt;&gt;")))</f>
        <v/>
      </c>
      <c r="D43" s="19"/>
      <c r="E43" s="17" t="str">
        <f>IF(D43="","",VLOOKUP(D43,Inventory!$A$4:$I$21,2,FALSE()))</f>
        <v/>
      </c>
      <c r="F43" s="18"/>
      <c r="G43" s="31" t="str">
        <f>IF(D43="","",VLOOKUP(D43,Inventory!$A$4:$I$21,5,FALSE()))</f>
        <v/>
      </c>
      <c r="H43" s="31" t="str">
        <f>IF(OR(D43="",F43=""),"",F43*G43)</f>
        <v/>
      </c>
      <c r="I43" s="31" t="str">
        <f>IF(OR(D43="",F43=""),"",F43*VLOOKUP(D43,Inventory!$A$4:$I$21,4,FALSE()))</f>
        <v/>
      </c>
      <c r="J43" s="31" t="str">
        <f>IF(H43="","",H43-I43)</f>
        <v/>
      </c>
      <c r="K43" s="19"/>
      <c r="L43" s="17"/>
      <c r="Z43" s="15" t="str">
        <f>IF(K43="Credit",COUNTIF(K$4:K43,"Credit"),"")</f>
        <v/>
      </c>
    </row>
    <row r="44" spans="1:26" ht="15" customHeight="1" x14ac:dyDescent="0.2">
      <c r="A44" s="29" t="str">
        <f ca="1">IF(D44="","",IF(N(A44)=0,TODAY(),A44))</f>
        <v/>
      </c>
      <c r="B44" s="30" t="str">
        <f ca="1">IF(D44="","",IF(N(B44)=0,ROUND(MOD(NOW(),1)*1440,0)/1440,B44))</f>
        <v/>
      </c>
      <c r="C44" s="19" t="str">
        <f>IF(D44="","","T"&amp;(1000+COUNTIF($D$4:D44,"&lt;&gt;")))</f>
        <v/>
      </c>
      <c r="D44" s="19"/>
      <c r="E44" s="17" t="str">
        <f>IF(D44="","",VLOOKUP(D44,Inventory!$A$4:$I$21,2,FALSE()))</f>
        <v/>
      </c>
      <c r="F44" s="18"/>
      <c r="G44" s="31" t="str">
        <f>IF(D44="","",VLOOKUP(D44,Inventory!$A$4:$I$21,5,FALSE()))</f>
        <v/>
      </c>
      <c r="H44" s="31" t="str">
        <f>IF(OR(D44="",F44=""),"",F44*G44)</f>
        <v/>
      </c>
      <c r="I44" s="31" t="str">
        <f>IF(OR(D44="",F44=""),"",F44*VLOOKUP(D44,Inventory!$A$4:$I$21,4,FALSE()))</f>
        <v/>
      </c>
      <c r="J44" s="31" t="str">
        <f>IF(H44="","",H44-I44)</f>
        <v/>
      </c>
      <c r="K44" s="19"/>
      <c r="L44" s="17"/>
      <c r="Z44" s="15" t="str">
        <f>IF(K44="Credit",COUNTIF(K$4:K44,"Credit"),"")</f>
        <v/>
      </c>
    </row>
    <row r="45" spans="1:26" ht="15" customHeight="1" x14ac:dyDescent="0.2">
      <c r="A45" s="29" t="str">
        <f ca="1">IF(D45="","",IF(N(A45)=0,TODAY(),A45))</f>
        <v/>
      </c>
      <c r="B45" s="30" t="str">
        <f ca="1">IF(D45="","",IF(N(B45)=0,ROUND(MOD(NOW(),1)*1440,0)/1440,B45))</f>
        <v/>
      </c>
      <c r="C45" s="19" t="str">
        <f>IF(D45="","","T"&amp;(1000+COUNTIF($D$4:D45,"&lt;&gt;")))</f>
        <v/>
      </c>
      <c r="D45" s="19"/>
      <c r="E45" s="17" t="str">
        <f>IF(D45="","",VLOOKUP(D45,Inventory!$A$4:$I$21,2,FALSE()))</f>
        <v/>
      </c>
      <c r="F45" s="18"/>
      <c r="G45" s="31" t="str">
        <f>IF(D45="","",VLOOKUP(D45,Inventory!$A$4:$I$21,5,FALSE()))</f>
        <v/>
      </c>
      <c r="H45" s="31" t="str">
        <f>IF(OR(D45="",F45=""),"",F45*G45)</f>
        <v/>
      </c>
      <c r="I45" s="31" t="str">
        <f>IF(OR(D45="",F45=""),"",F45*VLOOKUP(D45,Inventory!$A$4:$I$21,4,FALSE()))</f>
        <v/>
      </c>
      <c r="J45" s="31" t="str">
        <f>IF(H45="","",H45-I45)</f>
        <v/>
      </c>
      <c r="K45" s="19"/>
      <c r="L45" s="17"/>
      <c r="Z45" s="15" t="str">
        <f>IF(K45="Credit",COUNTIF(K$4:K45,"Credit"),"")</f>
        <v/>
      </c>
    </row>
    <row r="46" spans="1:26" ht="15" customHeight="1" x14ac:dyDescent="0.2">
      <c r="A46" s="29" t="str">
        <f ca="1">IF(D46="","",IF(N(A46)=0,TODAY(),A46))</f>
        <v/>
      </c>
      <c r="B46" s="30" t="str">
        <f ca="1">IF(D46="","",IF(N(B46)=0,ROUND(MOD(NOW(),1)*1440,0)/1440,B46))</f>
        <v/>
      </c>
      <c r="C46" s="19" t="str">
        <f>IF(D46="","","T"&amp;(1000+COUNTIF($D$4:D46,"&lt;&gt;")))</f>
        <v/>
      </c>
      <c r="D46" s="19"/>
      <c r="E46" s="17" t="str">
        <f>IF(D46="","",VLOOKUP(D46,Inventory!$A$4:$I$21,2,FALSE()))</f>
        <v/>
      </c>
      <c r="F46" s="18"/>
      <c r="G46" s="31" t="str">
        <f>IF(D46="","",VLOOKUP(D46,Inventory!$A$4:$I$21,5,FALSE()))</f>
        <v/>
      </c>
      <c r="H46" s="31" t="str">
        <f>IF(OR(D46="",F46=""),"",F46*G46)</f>
        <v/>
      </c>
      <c r="I46" s="31" t="str">
        <f>IF(OR(D46="",F46=""),"",F46*VLOOKUP(D46,Inventory!$A$4:$I$21,4,FALSE()))</f>
        <v/>
      </c>
      <c r="J46" s="31" t="str">
        <f>IF(H46="","",H46-I46)</f>
        <v/>
      </c>
      <c r="K46" s="19"/>
      <c r="L46" s="17"/>
      <c r="Z46" s="15" t="str">
        <f>IF(K46="Credit",COUNTIF(K$4:K46,"Credit"),"")</f>
        <v/>
      </c>
    </row>
    <row r="47" spans="1:26" ht="15" customHeight="1" x14ac:dyDescent="0.2">
      <c r="A47" s="29" t="str">
        <f ca="1">IF(D47="","",IF(N(A47)=0,TODAY(),A47))</f>
        <v/>
      </c>
      <c r="B47" s="30" t="str">
        <f ca="1">IF(D47="","",IF(N(B47)=0,ROUND(MOD(NOW(),1)*1440,0)/1440,B47))</f>
        <v/>
      </c>
      <c r="C47" s="19" t="str">
        <f>IF(D47="","","T"&amp;(1000+COUNTIF($D$4:D47,"&lt;&gt;")))</f>
        <v/>
      </c>
      <c r="D47" s="19"/>
      <c r="E47" s="17" t="str">
        <f>IF(D47="","",VLOOKUP(D47,Inventory!$A$4:$I$21,2,FALSE()))</f>
        <v/>
      </c>
      <c r="F47" s="18"/>
      <c r="G47" s="31" t="str">
        <f>IF(D47="","",VLOOKUP(D47,Inventory!$A$4:$I$21,5,FALSE()))</f>
        <v/>
      </c>
      <c r="H47" s="31" t="str">
        <f>IF(OR(D47="",F47=""),"",F47*G47)</f>
        <v/>
      </c>
      <c r="I47" s="31" t="str">
        <f>IF(OR(D47="",F47=""),"",F47*VLOOKUP(D47,Inventory!$A$4:$I$21,4,FALSE()))</f>
        <v/>
      </c>
      <c r="J47" s="31" t="str">
        <f>IF(H47="","",H47-I47)</f>
        <v/>
      </c>
      <c r="K47" s="19"/>
      <c r="L47" s="17"/>
      <c r="Z47" s="15" t="str">
        <f>IF(K47="Credit",COUNTIF(K$4:K47,"Credit"),"")</f>
        <v/>
      </c>
    </row>
    <row r="48" spans="1:26" ht="15" customHeight="1" x14ac:dyDescent="0.2">
      <c r="A48" s="29" t="str">
        <f ca="1">IF(D48="","",IF(N(A48)=0,TODAY(),A48))</f>
        <v/>
      </c>
      <c r="B48" s="30" t="str">
        <f ca="1">IF(D48="","",IF(N(B48)=0,ROUND(MOD(NOW(),1)*1440,0)/1440,B48))</f>
        <v/>
      </c>
      <c r="C48" s="19" t="str">
        <f>IF(D48="","","T"&amp;(1000+COUNTIF($D$4:D48,"&lt;&gt;")))</f>
        <v/>
      </c>
      <c r="D48" s="19"/>
      <c r="E48" s="17" t="str">
        <f>IF(D48="","",VLOOKUP(D48,Inventory!$A$4:$I$21,2,FALSE()))</f>
        <v/>
      </c>
      <c r="F48" s="18"/>
      <c r="G48" s="31" t="str">
        <f>IF(D48="","",VLOOKUP(D48,Inventory!$A$4:$I$21,5,FALSE()))</f>
        <v/>
      </c>
      <c r="H48" s="31" t="str">
        <f>IF(OR(D48="",F48=""),"",F48*G48)</f>
        <v/>
      </c>
      <c r="I48" s="31" t="str">
        <f>IF(OR(D48="",F48=""),"",F48*VLOOKUP(D48,Inventory!$A$4:$I$21,4,FALSE()))</f>
        <v/>
      </c>
      <c r="J48" s="31" t="str">
        <f>IF(H48="","",H48-I48)</f>
        <v/>
      </c>
      <c r="K48" s="19"/>
      <c r="L48" s="17"/>
      <c r="Z48" s="15" t="str">
        <f>IF(K48="Credit",COUNTIF(K$4:K48,"Credit"),"")</f>
        <v/>
      </c>
    </row>
    <row r="49" spans="1:26" ht="15" customHeight="1" x14ac:dyDescent="0.2">
      <c r="A49" s="29" t="str">
        <f ca="1">IF(D49="","",IF(N(A49)=0,TODAY(),A49))</f>
        <v/>
      </c>
      <c r="B49" s="30" t="str">
        <f ca="1">IF(D49="","",IF(N(B49)=0,ROUND(MOD(NOW(),1)*1440,0)/1440,B49))</f>
        <v/>
      </c>
      <c r="C49" s="19" t="str">
        <f>IF(D49="","","T"&amp;(1000+COUNTIF($D$4:D49,"&lt;&gt;")))</f>
        <v/>
      </c>
      <c r="D49" s="19"/>
      <c r="E49" s="17" t="str">
        <f>IF(D49="","",VLOOKUP(D49,Inventory!$A$4:$I$21,2,FALSE()))</f>
        <v/>
      </c>
      <c r="F49" s="18"/>
      <c r="G49" s="31" t="str">
        <f>IF(D49="","",VLOOKUP(D49,Inventory!$A$4:$I$21,5,FALSE()))</f>
        <v/>
      </c>
      <c r="H49" s="31" t="str">
        <f>IF(OR(D49="",F49=""),"",F49*G49)</f>
        <v/>
      </c>
      <c r="I49" s="31" t="str">
        <f>IF(OR(D49="",F49=""),"",F49*VLOOKUP(D49,Inventory!$A$4:$I$21,4,FALSE()))</f>
        <v/>
      </c>
      <c r="J49" s="31" t="str">
        <f>IF(H49="","",H49-I49)</f>
        <v/>
      </c>
      <c r="K49" s="19"/>
      <c r="L49" s="17"/>
      <c r="Z49" s="15" t="str">
        <f>IF(K49="Credit",COUNTIF(K$4:K49,"Credit"),"")</f>
        <v/>
      </c>
    </row>
    <row r="50" spans="1:26" ht="15" customHeight="1" x14ac:dyDescent="0.2">
      <c r="A50" s="29" t="str">
        <f ca="1">IF(D50="","",IF(N(A50)=0,TODAY(),A50))</f>
        <v/>
      </c>
      <c r="B50" s="30" t="str">
        <f ca="1">IF(D50="","",IF(N(B50)=0,ROUND(MOD(NOW(),1)*1440,0)/1440,B50))</f>
        <v/>
      </c>
      <c r="C50" s="19" t="str">
        <f>IF(D50="","","T"&amp;(1000+COUNTIF($D$4:D50,"&lt;&gt;")))</f>
        <v/>
      </c>
      <c r="D50" s="19"/>
      <c r="E50" s="17" t="str">
        <f>IF(D50="","",VLOOKUP(D50,Inventory!$A$4:$I$21,2,FALSE()))</f>
        <v/>
      </c>
      <c r="F50" s="18"/>
      <c r="G50" s="31" t="str">
        <f>IF(D50="","",VLOOKUP(D50,Inventory!$A$4:$I$21,5,FALSE()))</f>
        <v/>
      </c>
      <c r="H50" s="31" t="str">
        <f>IF(OR(D50="",F50=""),"",F50*G50)</f>
        <v/>
      </c>
      <c r="I50" s="31" t="str">
        <f>IF(OR(D50="",F50=""),"",F50*VLOOKUP(D50,Inventory!$A$4:$I$21,4,FALSE()))</f>
        <v/>
      </c>
      <c r="J50" s="31" t="str">
        <f>IF(H50="","",H50-I50)</f>
        <v/>
      </c>
      <c r="K50" s="19"/>
      <c r="L50" s="17"/>
      <c r="Z50" s="15" t="str">
        <f>IF(K50="Credit",COUNTIF(K$4:K50,"Credit"),"")</f>
        <v/>
      </c>
    </row>
    <row r="51" spans="1:26" ht="15" customHeight="1" x14ac:dyDescent="0.2">
      <c r="A51" s="29" t="str">
        <f ca="1">IF(D51="","",IF(N(A51)=0,TODAY(),A51))</f>
        <v/>
      </c>
      <c r="B51" s="30" t="str">
        <f ca="1">IF(D51="","",IF(N(B51)=0,ROUND(MOD(NOW(),1)*1440,0)/1440,B51))</f>
        <v/>
      </c>
      <c r="C51" s="19" t="str">
        <f>IF(D51="","","T"&amp;(1000+COUNTIF($D$4:D51,"&lt;&gt;")))</f>
        <v/>
      </c>
      <c r="D51" s="19"/>
      <c r="E51" s="17" t="str">
        <f>IF(D51="","",VLOOKUP(D51,Inventory!$A$4:$I$21,2,FALSE()))</f>
        <v/>
      </c>
      <c r="F51" s="18"/>
      <c r="G51" s="31" t="str">
        <f>IF(D51="","",VLOOKUP(D51,Inventory!$A$4:$I$21,5,FALSE()))</f>
        <v/>
      </c>
      <c r="H51" s="31" t="str">
        <f>IF(OR(D51="",F51=""),"",F51*G51)</f>
        <v/>
      </c>
      <c r="I51" s="31" t="str">
        <f>IF(OR(D51="",F51=""),"",F51*VLOOKUP(D51,Inventory!$A$4:$I$21,4,FALSE()))</f>
        <v/>
      </c>
      <c r="J51" s="31" t="str">
        <f>IF(H51="","",H51-I51)</f>
        <v/>
      </c>
      <c r="K51" s="19"/>
      <c r="L51" s="17"/>
      <c r="Z51" s="15" t="str">
        <f>IF(K51="Credit",COUNTIF(K$4:K51,"Credit"),"")</f>
        <v/>
      </c>
    </row>
    <row r="52" spans="1:26" ht="15" customHeight="1" x14ac:dyDescent="0.2">
      <c r="A52" s="29" t="str">
        <f ca="1">IF(D52="","",IF(N(A52)=0,TODAY(),A52))</f>
        <v/>
      </c>
      <c r="B52" s="30" t="str">
        <f ca="1">IF(D52="","",IF(N(B52)=0,ROUND(MOD(NOW(),1)*1440,0)/1440,B52))</f>
        <v/>
      </c>
      <c r="C52" s="19" t="str">
        <f>IF(D52="","","T"&amp;(1000+COUNTIF($D$4:D52,"&lt;&gt;")))</f>
        <v/>
      </c>
      <c r="D52" s="19"/>
      <c r="E52" s="17" t="str">
        <f>IF(D52="","",VLOOKUP(D52,Inventory!$A$4:$I$21,2,FALSE()))</f>
        <v/>
      </c>
      <c r="F52" s="18"/>
      <c r="G52" s="31" t="str">
        <f>IF(D52="","",VLOOKUP(D52,Inventory!$A$4:$I$21,5,FALSE()))</f>
        <v/>
      </c>
      <c r="H52" s="31" t="str">
        <f>IF(OR(D52="",F52=""),"",F52*G52)</f>
        <v/>
      </c>
      <c r="I52" s="31" t="str">
        <f>IF(OR(D52="",F52=""),"",F52*VLOOKUP(D52,Inventory!$A$4:$I$21,4,FALSE()))</f>
        <v/>
      </c>
      <c r="J52" s="31" t="str">
        <f>IF(H52="","",H52-I52)</f>
        <v/>
      </c>
      <c r="K52" s="19"/>
      <c r="L52" s="17"/>
      <c r="Z52" s="15" t="str">
        <f>IF(K52="Credit",COUNTIF(K$4:K52,"Credit"),"")</f>
        <v/>
      </c>
    </row>
    <row r="53" spans="1:26" ht="15" customHeight="1" x14ac:dyDescent="0.2">
      <c r="A53" s="29" t="str">
        <f ca="1">IF(D53="","",IF(N(A53)=0,TODAY(),A53))</f>
        <v/>
      </c>
      <c r="B53" s="30" t="str">
        <f ca="1">IF(D53="","",IF(N(B53)=0,ROUND(MOD(NOW(),1)*1440,0)/1440,B53))</f>
        <v/>
      </c>
      <c r="C53" s="19" t="str">
        <f>IF(D53="","","T"&amp;(1000+COUNTIF($D$4:D53,"&lt;&gt;")))</f>
        <v/>
      </c>
      <c r="D53" s="19"/>
      <c r="E53" s="17" t="str">
        <f>IF(D53="","",VLOOKUP(D53,Inventory!$A$4:$I$21,2,FALSE()))</f>
        <v/>
      </c>
      <c r="F53" s="18"/>
      <c r="G53" s="31" t="str">
        <f>IF(D53="","",VLOOKUP(D53,Inventory!$A$4:$I$21,5,FALSE()))</f>
        <v/>
      </c>
      <c r="H53" s="31" t="str">
        <f>IF(OR(D53="",F53=""),"",F53*G53)</f>
        <v/>
      </c>
      <c r="I53" s="31" t="str">
        <f>IF(OR(D53="",F53=""),"",F53*VLOOKUP(D53,Inventory!$A$4:$I$21,4,FALSE()))</f>
        <v/>
      </c>
      <c r="J53" s="31" t="str">
        <f>IF(H53="","",H53-I53)</f>
        <v/>
      </c>
      <c r="K53" s="19"/>
      <c r="L53" s="17"/>
      <c r="Z53" s="15" t="str">
        <f>IF(K53="Credit",COUNTIF(K$4:K53,"Credit"),"")</f>
        <v/>
      </c>
    </row>
    <row r="54" spans="1:26" ht="15" customHeight="1" x14ac:dyDescent="0.2">
      <c r="A54" s="29" t="str">
        <f ca="1">IF(D54="","",IF(N(A54)=0,TODAY(),A54))</f>
        <v/>
      </c>
      <c r="B54" s="30" t="str">
        <f ca="1">IF(D54="","",IF(N(B54)=0,ROUND(MOD(NOW(),1)*1440,0)/1440,B54))</f>
        <v/>
      </c>
      <c r="C54" s="19" t="str">
        <f>IF(D54="","","T"&amp;(1000+COUNTIF($D$4:D54,"&lt;&gt;")))</f>
        <v/>
      </c>
      <c r="D54" s="19"/>
      <c r="E54" s="17" t="str">
        <f>IF(D54="","",VLOOKUP(D54,Inventory!$A$4:$I$21,2,FALSE()))</f>
        <v/>
      </c>
      <c r="F54" s="18"/>
      <c r="G54" s="31" t="str">
        <f>IF(D54="","",VLOOKUP(D54,Inventory!$A$4:$I$21,5,FALSE()))</f>
        <v/>
      </c>
      <c r="H54" s="31" t="str">
        <f>IF(OR(D54="",F54=""),"",F54*G54)</f>
        <v/>
      </c>
      <c r="I54" s="31" t="str">
        <f>IF(OR(D54="",F54=""),"",F54*VLOOKUP(D54,Inventory!$A$4:$I$21,4,FALSE()))</f>
        <v/>
      </c>
      <c r="J54" s="31" t="str">
        <f>IF(H54="","",H54-I54)</f>
        <v/>
      </c>
      <c r="K54" s="19"/>
      <c r="L54" s="17"/>
      <c r="Z54" s="15" t="str">
        <f>IF(K54="Credit",COUNTIF(K$4:K54,"Credit"),"")</f>
        <v/>
      </c>
    </row>
    <row r="55" spans="1:26" ht="15" customHeight="1" x14ac:dyDescent="0.2">
      <c r="A55" s="29" t="str">
        <f ca="1">IF(D55="","",IF(N(A55)=0,TODAY(),A55))</f>
        <v/>
      </c>
      <c r="B55" s="30" t="str">
        <f ca="1">IF(D55="","",IF(N(B55)=0,ROUND(MOD(NOW(),1)*1440,0)/1440,B55))</f>
        <v/>
      </c>
      <c r="C55" s="19" t="str">
        <f>IF(D55="","","T"&amp;(1000+COUNTIF($D$4:D55,"&lt;&gt;")))</f>
        <v/>
      </c>
      <c r="D55" s="19"/>
      <c r="E55" s="17" t="str">
        <f>IF(D55="","",VLOOKUP(D55,Inventory!$A$4:$I$21,2,FALSE()))</f>
        <v/>
      </c>
      <c r="F55" s="18"/>
      <c r="G55" s="31" t="str">
        <f>IF(D55="","",VLOOKUP(D55,Inventory!$A$4:$I$21,5,FALSE()))</f>
        <v/>
      </c>
      <c r="H55" s="31" t="str">
        <f>IF(OR(D55="",F55=""),"",F55*G55)</f>
        <v/>
      </c>
      <c r="I55" s="31" t="str">
        <f>IF(OR(D55="",F55=""),"",F55*VLOOKUP(D55,Inventory!$A$4:$I$21,4,FALSE()))</f>
        <v/>
      </c>
      <c r="J55" s="31" t="str">
        <f>IF(H55="","",H55-I55)</f>
        <v/>
      </c>
      <c r="K55" s="19"/>
      <c r="L55" s="17"/>
      <c r="Z55" s="15" t="str">
        <f>IF(K55="Credit",COUNTIF(K$4:K55,"Credit"),"")</f>
        <v/>
      </c>
    </row>
    <row r="56" spans="1:26" ht="15" customHeight="1" x14ac:dyDescent="0.2">
      <c r="A56" s="29" t="str">
        <f ca="1">IF(D56="","",IF(N(A56)=0,TODAY(),A56))</f>
        <v/>
      </c>
      <c r="B56" s="30" t="str">
        <f ca="1">IF(D56="","",IF(N(B56)=0,ROUND(MOD(NOW(),1)*1440,0)/1440,B56))</f>
        <v/>
      </c>
      <c r="C56" s="19" t="str">
        <f>IF(D56="","","T"&amp;(1000+COUNTIF($D$4:D56,"&lt;&gt;")))</f>
        <v/>
      </c>
      <c r="D56" s="19"/>
      <c r="E56" s="17" t="str">
        <f>IF(D56="","",VLOOKUP(D56,Inventory!$A$4:$I$21,2,FALSE()))</f>
        <v/>
      </c>
      <c r="F56" s="18"/>
      <c r="G56" s="31" t="str">
        <f>IF(D56="","",VLOOKUP(D56,Inventory!$A$4:$I$21,5,FALSE()))</f>
        <v/>
      </c>
      <c r="H56" s="31" t="str">
        <f>IF(OR(D56="",F56=""),"",F56*G56)</f>
        <v/>
      </c>
      <c r="I56" s="31" t="str">
        <f>IF(OR(D56="",F56=""),"",F56*VLOOKUP(D56,Inventory!$A$4:$I$21,4,FALSE()))</f>
        <v/>
      </c>
      <c r="J56" s="31" t="str">
        <f>IF(H56="","",H56-I56)</f>
        <v/>
      </c>
      <c r="K56" s="19"/>
      <c r="L56" s="17"/>
      <c r="Z56" s="15" t="str">
        <f>IF(K56="Credit",COUNTIF(K$4:K56,"Credit"),"")</f>
        <v/>
      </c>
    </row>
    <row r="57" spans="1:26" ht="15" customHeight="1" x14ac:dyDescent="0.2">
      <c r="A57" s="29" t="str">
        <f ca="1">IF(D57="","",IF(N(A57)=0,TODAY(),A57))</f>
        <v/>
      </c>
      <c r="B57" s="30" t="str">
        <f ca="1">IF(D57="","",IF(N(B57)=0,ROUND(MOD(NOW(),1)*1440,0)/1440,B57))</f>
        <v/>
      </c>
      <c r="C57" s="19" t="str">
        <f>IF(D57="","","T"&amp;(1000+COUNTIF($D$4:D57,"&lt;&gt;")))</f>
        <v/>
      </c>
      <c r="D57" s="19"/>
      <c r="E57" s="17" t="str">
        <f>IF(D57="","",VLOOKUP(D57,Inventory!$A$4:$I$21,2,FALSE()))</f>
        <v/>
      </c>
      <c r="F57" s="18"/>
      <c r="G57" s="31" t="str">
        <f>IF(D57="","",VLOOKUP(D57,Inventory!$A$4:$I$21,5,FALSE()))</f>
        <v/>
      </c>
      <c r="H57" s="31" t="str">
        <f>IF(OR(D57="",F57=""),"",F57*G57)</f>
        <v/>
      </c>
      <c r="I57" s="31" t="str">
        <f>IF(OR(D57="",F57=""),"",F57*VLOOKUP(D57,Inventory!$A$4:$I$21,4,FALSE()))</f>
        <v/>
      </c>
      <c r="J57" s="31" t="str">
        <f>IF(H57="","",H57-I57)</f>
        <v/>
      </c>
      <c r="K57" s="19"/>
      <c r="L57" s="17"/>
      <c r="Z57" s="15" t="str">
        <f>IF(K57="Credit",COUNTIF(K$4:K57,"Credit"),"")</f>
        <v/>
      </c>
    </row>
    <row r="58" spans="1:26" ht="15" customHeight="1" x14ac:dyDescent="0.2">
      <c r="A58" s="29" t="str">
        <f ca="1">IF(D58="","",IF(N(A58)=0,TODAY(),A58))</f>
        <v/>
      </c>
      <c r="B58" s="30" t="str">
        <f ca="1">IF(D58="","",IF(N(B58)=0,ROUND(MOD(NOW(),1)*1440,0)/1440,B58))</f>
        <v/>
      </c>
      <c r="C58" s="19" t="str">
        <f>IF(D58="","","T"&amp;(1000+COUNTIF($D$4:D58,"&lt;&gt;")))</f>
        <v/>
      </c>
      <c r="D58" s="19"/>
      <c r="E58" s="17" t="str">
        <f>IF(D58="","",VLOOKUP(D58,Inventory!$A$4:$I$21,2,FALSE()))</f>
        <v/>
      </c>
      <c r="F58" s="18"/>
      <c r="G58" s="31" t="str">
        <f>IF(D58="","",VLOOKUP(D58,Inventory!$A$4:$I$21,5,FALSE()))</f>
        <v/>
      </c>
      <c r="H58" s="31" t="str">
        <f>IF(OR(D58="",F58=""),"",F58*G58)</f>
        <v/>
      </c>
      <c r="I58" s="31" t="str">
        <f>IF(OR(D58="",F58=""),"",F58*VLOOKUP(D58,Inventory!$A$4:$I$21,4,FALSE()))</f>
        <v/>
      </c>
      <c r="J58" s="31" t="str">
        <f>IF(H58="","",H58-I58)</f>
        <v/>
      </c>
      <c r="K58" s="19"/>
      <c r="L58" s="17"/>
      <c r="Z58" s="15" t="str">
        <f>IF(K58="Credit",COUNTIF(K$4:K58,"Credit"),"")</f>
        <v/>
      </c>
    </row>
    <row r="59" spans="1:26" ht="15" customHeight="1" x14ac:dyDescent="0.2">
      <c r="A59" s="29" t="str">
        <f ca="1">IF(D59="","",IF(N(A59)=0,TODAY(),A59))</f>
        <v/>
      </c>
      <c r="B59" s="30" t="str">
        <f ca="1">IF(D59="","",IF(N(B59)=0,ROUND(MOD(NOW(),1)*1440,0)/1440,B59))</f>
        <v/>
      </c>
      <c r="C59" s="19" t="str">
        <f>IF(D59="","","T"&amp;(1000+COUNTIF($D$4:D59,"&lt;&gt;")))</f>
        <v/>
      </c>
      <c r="D59" s="19"/>
      <c r="E59" s="17" t="str">
        <f>IF(D59="","",VLOOKUP(D59,Inventory!$A$4:$I$21,2,FALSE()))</f>
        <v/>
      </c>
      <c r="F59" s="18"/>
      <c r="G59" s="31" t="str">
        <f>IF(D59="","",VLOOKUP(D59,Inventory!$A$4:$I$21,5,FALSE()))</f>
        <v/>
      </c>
      <c r="H59" s="31" t="str">
        <f>IF(OR(D59="",F59=""),"",F59*G59)</f>
        <v/>
      </c>
      <c r="I59" s="31" t="str">
        <f>IF(OR(D59="",F59=""),"",F59*VLOOKUP(D59,Inventory!$A$4:$I$21,4,FALSE()))</f>
        <v/>
      </c>
      <c r="J59" s="31" t="str">
        <f>IF(H59="","",H59-I59)</f>
        <v/>
      </c>
      <c r="K59" s="19"/>
      <c r="L59" s="17"/>
      <c r="Z59" s="15" t="str">
        <f>IF(K59="Credit",COUNTIF(K$4:K59,"Credit"),"")</f>
        <v/>
      </c>
    </row>
    <row r="60" spans="1:26" ht="15" customHeight="1" x14ac:dyDescent="0.2">
      <c r="A60" s="29" t="str">
        <f ca="1">IF(D60="","",IF(N(A60)=0,TODAY(),A60))</f>
        <v/>
      </c>
      <c r="B60" s="30" t="str">
        <f ca="1">IF(D60="","",IF(N(B60)=0,ROUND(MOD(NOW(),1)*1440,0)/1440,B60))</f>
        <v/>
      </c>
      <c r="C60" s="19" t="str">
        <f>IF(D60="","","T"&amp;(1000+COUNTIF($D$4:D60,"&lt;&gt;")))</f>
        <v/>
      </c>
      <c r="D60" s="19"/>
      <c r="E60" s="17" t="str">
        <f>IF(D60="","",VLOOKUP(D60,Inventory!$A$4:$I$21,2,FALSE()))</f>
        <v/>
      </c>
      <c r="F60" s="18"/>
      <c r="G60" s="31" t="str">
        <f>IF(D60="","",VLOOKUP(D60,Inventory!$A$4:$I$21,5,FALSE()))</f>
        <v/>
      </c>
      <c r="H60" s="31" t="str">
        <f>IF(OR(D60="",F60=""),"",F60*G60)</f>
        <v/>
      </c>
      <c r="I60" s="31" t="str">
        <f>IF(OR(D60="",F60=""),"",F60*VLOOKUP(D60,Inventory!$A$4:$I$21,4,FALSE()))</f>
        <v/>
      </c>
      <c r="J60" s="31" t="str">
        <f>IF(H60="","",H60-I60)</f>
        <v/>
      </c>
      <c r="K60" s="19"/>
      <c r="L60" s="17"/>
      <c r="Z60" s="15" t="str">
        <f>IF(K60="Credit",COUNTIF(K$4:K60,"Credit"),"")</f>
        <v/>
      </c>
    </row>
    <row r="61" spans="1:26" ht="15" customHeight="1" x14ac:dyDescent="0.2">
      <c r="A61" s="29" t="str">
        <f ca="1">IF(D61="","",IF(N(A61)=0,TODAY(),A61))</f>
        <v/>
      </c>
      <c r="B61" s="30" t="str">
        <f ca="1">IF(D61="","",IF(N(B61)=0,ROUND(MOD(NOW(),1)*1440,0)/1440,B61))</f>
        <v/>
      </c>
      <c r="C61" s="19" t="str">
        <f>IF(D61="","","T"&amp;(1000+COUNTIF($D$4:D61,"&lt;&gt;")))</f>
        <v/>
      </c>
      <c r="D61" s="19"/>
      <c r="E61" s="17" t="str">
        <f>IF(D61="","",VLOOKUP(D61,Inventory!$A$4:$I$21,2,FALSE()))</f>
        <v/>
      </c>
      <c r="F61" s="18"/>
      <c r="G61" s="31" t="str">
        <f>IF(D61="","",VLOOKUP(D61,Inventory!$A$4:$I$21,5,FALSE()))</f>
        <v/>
      </c>
      <c r="H61" s="31" t="str">
        <f>IF(OR(D61="",F61=""),"",F61*G61)</f>
        <v/>
      </c>
      <c r="I61" s="31" t="str">
        <f>IF(OR(D61="",F61=""),"",F61*VLOOKUP(D61,Inventory!$A$4:$I$21,4,FALSE()))</f>
        <v/>
      </c>
      <c r="J61" s="31" t="str">
        <f>IF(H61="","",H61-I61)</f>
        <v/>
      </c>
      <c r="K61" s="19"/>
      <c r="L61" s="17"/>
      <c r="Z61" s="15" t="str">
        <f>IF(K61="Credit",COUNTIF(K$4:K61,"Credit"),"")</f>
        <v/>
      </c>
    </row>
    <row r="62" spans="1:26" ht="15" customHeight="1" x14ac:dyDescent="0.2">
      <c r="A62" s="29" t="str">
        <f ca="1">IF(D62="","",IF(N(A62)=0,TODAY(),A62))</f>
        <v/>
      </c>
      <c r="B62" s="30" t="str">
        <f ca="1">IF(D62="","",IF(N(B62)=0,ROUND(MOD(NOW(),1)*1440,0)/1440,B62))</f>
        <v/>
      </c>
      <c r="C62" s="19" t="str">
        <f>IF(D62="","","T"&amp;(1000+COUNTIF($D$4:D62,"&lt;&gt;")))</f>
        <v/>
      </c>
      <c r="D62" s="19"/>
      <c r="E62" s="17" t="str">
        <f>IF(D62="","",VLOOKUP(D62,Inventory!$A$4:$I$21,2,FALSE()))</f>
        <v/>
      </c>
      <c r="F62" s="18"/>
      <c r="G62" s="31" t="str">
        <f>IF(D62="","",VLOOKUP(D62,Inventory!$A$4:$I$21,5,FALSE()))</f>
        <v/>
      </c>
      <c r="H62" s="31" t="str">
        <f>IF(OR(D62="",F62=""),"",F62*G62)</f>
        <v/>
      </c>
      <c r="I62" s="31" t="str">
        <f>IF(OR(D62="",F62=""),"",F62*VLOOKUP(D62,Inventory!$A$4:$I$21,4,FALSE()))</f>
        <v/>
      </c>
      <c r="J62" s="31" t="str">
        <f>IF(H62="","",H62-I62)</f>
        <v/>
      </c>
      <c r="K62" s="19"/>
      <c r="L62" s="17"/>
      <c r="Z62" s="15" t="str">
        <f>IF(K62="Credit",COUNTIF(K$4:K62,"Credit"),"")</f>
        <v/>
      </c>
    </row>
    <row r="63" spans="1:26" ht="15" customHeight="1" x14ac:dyDescent="0.2">
      <c r="A63" s="29" t="str">
        <f ca="1">IF(D63="","",IF(N(A63)=0,TODAY(),A63))</f>
        <v/>
      </c>
      <c r="B63" s="30" t="str">
        <f ca="1">IF(D63="","",IF(N(B63)=0,ROUND(MOD(NOW(),1)*1440,0)/1440,B63))</f>
        <v/>
      </c>
      <c r="C63" s="19" t="str">
        <f>IF(D63="","","T"&amp;(1000+COUNTIF($D$4:D63,"&lt;&gt;")))</f>
        <v/>
      </c>
      <c r="D63" s="19"/>
      <c r="E63" s="17" t="str">
        <f>IF(D63="","",VLOOKUP(D63,Inventory!$A$4:$I$21,2,FALSE()))</f>
        <v/>
      </c>
      <c r="F63" s="18"/>
      <c r="G63" s="31" t="str">
        <f>IF(D63="","",VLOOKUP(D63,Inventory!$A$4:$I$21,5,FALSE()))</f>
        <v/>
      </c>
      <c r="H63" s="31" t="str">
        <f>IF(OR(D63="",F63=""),"",F63*G63)</f>
        <v/>
      </c>
      <c r="I63" s="31" t="str">
        <f>IF(OR(D63="",F63=""),"",F63*VLOOKUP(D63,Inventory!$A$4:$I$21,4,FALSE()))</f>
        <v/>
      </c>
      <c r="J63" s="31" t="str">
        <f>IF(H63="","",H63-I63)</f>
        <v/>
      </c>
      <c r="K63" s="19"/>
      <c r="L63" s="17"/>
      <c r="Z63" s="15" t="str">
        <f>IF(K63="Credit",COUNTIF(K$4:K63,"Credit"),"")</f>
        <v/>
      </c>
    </row>
    <row r="64" spans="1:26" ht="15" customHeight="1" x14ac:dyDescent="0.2">
      <c r="A64" s="29" t="str">
        <f ca="1">IF(D64="","",IF(N(A64)=0,TODAY(),A64))</f>
        <v/>
      </c>
      <c r="B64" s="30" t="str">
        <f ca="1">IF(D64="","",IF(N(B64)=0,ROUND(MOD(NOW(),1)*1440,0)/1440,B64))</f>
        <v/>
      </c>
      <c r="C64" s="19" t="str">
        <f>IF(D64="","","T"&amp;(1000+COUNTIF($D$4:D64,"&lt;&gt;")))</f>
        <v/>
      </c>
      <c r="D64" s="19"/>
      <c r="E64" s="17" t="str">
        <f>IF(D64="","",VLOOKUP(D64,Inventory!$A$4:$I$21,2,FALSE()))</f>
        <v/>
      </c>
      <c r="F64" s="18"/>
      <c r="G64" s="31" t="str">
        <f>IF(D64="","",VLOOKUP(D64,Inventory!$A$4:$I$21,5,FALSE()))</f>
        <v/>
      </c>
      <c r="H64" s="31" t="str">
        <f>IF(OR(D64="",F64=""),"",F64*G64)</f>
        <v/>
      </c>
      <c r="I64" s="31" t="str">
        <f>IF(OR(D64="",F64=""),"",F64*VLOOKUP(D64,Inventory!$A$4:$I$21,4,FALSE()))</f>
        <v/>
      </c>
      <c r="J64" s="31" t="str">
        <f>IF(H64="","",H64-I64)</f>
        <v/>
      </c>
      <c r="K64" s="19"/>
      <c r="L64" s="17"/>
      <c r="Z64" s="15" t="str">
        <f>IF(K64="Credit",COUNTIF(K$4:K64,"Credit"),"")</f>
        <v/>
      </c>
    </row>
    <row r="65" spans="1:26" ht="15" customHeight="1" x14ac:dyDescent="0.2">
      <c r="A65" s="29" t="str">
        <f ca="1">IF(D65="","",IF(N(A65)=0,TODAY(),A65))</f>
        <v/>
      </c>
      <c r="B65" s="30" t="str">
        <f ca="1">IF(D65="","",IF(N(B65)=0,ROUND(MOD(NOW(),1)*1440,0)/1440,B65))</f>
        <v/>
      </c>
      <c r="C65" s="19" t="str">
        <f>IF(D65="","","T"&amp;(1000+COUNTIF($D$4:D65,"&lt;&gt;")))</f>
        <v/>
      </c>
      <c r="D65" s="19"/>
      <c r="E65" s="17" t="str">
        <f>IF(D65="","",VLOOKUP(D65,Inventory!$A$4:$I$21,2,FALSE()))</f>
        <v/>
      </c>
      <c r="F65" s="18"/>
      <c r="G65" s="31" t="str">
        <f>IF(D65="","",VLOOKUP(D65,Inventory!$A$4:$I$21,5,FALSE()))</f>
        <v/>
      </c>
      <c r="H65" s="31" t="str">
        <f>IF(OR(D65="",F65=""),"",F65*G65)</f>
        <v/>
      </c>
      <c r="I65" s="31" t="str">
        <f>IF(OR(D65="",F65=""),"",F65*VLOOKUP(D65,Inventory!$A$4:$I$21,4,FALSE()))</f>
        <v/>
      </c>
      <c r="J65" s="31" t="str">
        <f>IF(H65="","",H65-I65)</f>
        <v/>
      </c>
      <c r="K65" s="19"/>
      <c r="L65" s="17"/>
      <c r="Z65" s="15" t="str">
        <f>IF(K65="Credit",COUNTIF(K$4:K65,"Credit"),"")</f>
        <v/>
      </c>
    </row>
    <row r="66" spans="1:26" ht="15" customHeight="1" x14ac:dyDescent="0.2">
      <c r="A66" s="29" t="str">
        <f ca="1">IF(D66="","",IF(N(A66)=0,TODAY(),A66))</f>
        <v/>
      </c>
      <c r="B66" s="30" t="str">
        <f ca="1">IF(D66="","",IF(N(B66)=0,ROUND(MOD(NOW(),1)*1440,0)/1440,B66))</f>
        <v/>
      </c>
      <c r="C66" s="19" t="str">
        <f>IF(D66="","","T"&amp;(1000+COUNTIF($D$4:D66,"&lt;&gt;")))</f>
        <v/>
      </c>
      <c r="D66" s="19"/>
      <c r="E66" s="17" t="str">
        <f>IF(D66="","",VLOOKUP(D66,Inventory!$A$4:$I$21,2,FALSE()))</f>
        <v/>
      </c>
      <c r="F66" s="18"/>
      <c r="G66" s="31" t="str">
        <f>IF(D66="","",VLOOKUP(D66,Inventory!$A$4:$I$21,5,FALSE()))</f>
        <v/>
      </c>
      <c r="H66" s="31" t="str">
        <f>IF(OR(D66="",F66=""),"",F66*G66)</f>
        <v/>
      </c>
      <c r="I66" s="31" t="str">
        <f>IF(OR(D66="",F66=""),"",F66*VLOOKUP(D66,Inventory!$A$4:$I$21,4,FALSE()))</f>
        <v/>
      </c>
      <c r="J66" s="31" t="str">
        <f>IF(H66="","",H66-I66)</f>
        <v/>
      </c>
      <c r="K66" s="19"/>
      <c r="L66" s="17"/>
      <c r="Z66" s="15" t="str">
        <f>IF(K66="Credit",COUNTIF(K$4:K66,"Credit"),"")</f>
        <v/>
      </c>
    </row>
    <row r="67" spans="1:26" ht="15" customHeight="1" x14ac:dyDescent="0.2">
      <c r="A67" s="29" t="str">
        <f ca="1">IF(D67="","",IF(N(A67)=0,TODAY(),A67))</f>
        <v/>
      </c>
      <c r="B67" s="30" t="str">
        <f ca="1">IF(D67="","",IF(N(B67)=0,ROUND(MOD(NOW(),1)*1440,0)/1440,B67))</f>
        <v/>
      </c>
      <c r="C67" s="19" t="str">
        <f>IF(D67="","","T"&amp;(1000+COUNTIF($D$4:D67,"&lt;&gt;")))</f>
        <v/>
      </c>
      <c r="D67" s="19"/>
      <c r="E67" s="17" t="str">
        <f>IF(D67="","",VLOOKUP(D67,Inventory!$A$4:$I$21,2,FALSE()))</f>
        <v/>
      </c>
      <c r="F67" s="18"/>
      <c r="G67" s="31" t="str">
        <f>IF(D67="","",VLOOKUP(D67,Inventory!$A$4:$I$21,5,FALSE()))</f>
        <v/>
      </c>
      <c r="H67" s="31" t="str">
        <f>IF(OR(D67="",F67=""),"",F67*G67)</f>
        <v/>
      </c>
      <c r="I67" s="31" t="str">
        <f>IF(OR(D67="",F67=""),"",F67*VLOOKUP(D67,Inventory!$A$4:$I$21,4,FALSE()))</f>
        <v/>
      </c>
      <c r="J67" s="31" t="str">
        <f>IF(H67="","",H67-I67)</f>
        <v/>
      </c>
      <c r="K67" s="19"/>
      <c r="L67" s="17"/>
      <c r="Z67" s="15" t="str">
        <f>IF(K67="Credit",COUNTIF(K$4:K67,"Credit"),"")</f>
        <v/>
      </c>
    </row>
    <row r="68" spans="1:26" ht="15" customHeight="1" x14ac:dyDescent="0.2">
      <c r="A68" s="29" t="str">
        <f ca="1">IF(D68="","",IF(N(A68)=0,TODAY(),A68))</f>
        <v/>
      </c>
      <c r="B68" s="30" t="str">
        <f ca="1">IF(D68="","",IF(N(B68)=0,ROUND(MOD(NOW(),1)*1440,0)/1440,B68))</f>
        <v/>
      </c>
      <c r="C68" s="19" t="str">
        <f>IF(D68="","","T"&amp;(1000+COUNTIF($D$4:D68,"&lt;&gt;")))</f>
        <v/>
      </c>
      <c r="D68" s="19"/>
      <c r="E68" s="17" t="str">
        <f>IF(D68="","",VLOOKUP(D68,Inventory!$A$4:$I$21,2,FALSE()))</f>
        <v/>
      </c>
      <c r="F68" s="18"/>
      <c r="G68" s="31" t="str">
        <f>IF(D68="","",VLOOKUP(D68,Inventory!$A$4:$I$21,5,FALSE()))</f>
        <v/>
      </c>
      <c r="H68" s="31" t="str">
        <f>IF(OR(D68="",F68=""),"",F68*G68)</f>
        <v/>
      </c>
      <c r="I68" s="31" t="str">
        <f>IF(OR(D68="",F68=""),"",F68*VLOOKUP(D68,Inventory!$A$4:$I$21,4,FALSE()))</f>
        <v/>
      </c>
      <c r="J68" s="31" t="str">
        <f>IF(H68="","",H68-I68)</f>
        <v/>
      </c>
      <c r="K68" s="19"/>
      <c r="L68" s="17"/>
      <c r="Z68" s="15" t="str">
        <f>IF(K68="Credit",COUNTIF(K$4:K68,"Credit"),"")</f>
        <v/>
      </c>
    </row>
    <row r="69" spans="1:26" ht="15" customHeight="1" x14ac:dyDescent="0.2">
      <c r="A69" s="29" t="str">
        <f ca="1">IF(D69="","",IF(N(A69)=0,TODAY(),A69))</f>
        <v/>
      </c>
      <c r="B69" s="30" t="str">
        <f ca="1">IF(D69="","",IF(N(B69)=0,ROUND(MOD(NOW(),1)*1440,0)/1440,B69))</f>
        <v/>
      </c>
      <c r="C69" s="19" t="str">
        <f>IF(D69="","","T"&amp;(1000+COUNTIF($D$4:D69,"&lt;&gt;")))</f>
        <v/>
      </c>
      <c r="D69" s="19"/>
      <c r="E69" s="17" t="str">
        <f>IF(D69="","",VLOOKUP(D69,Inventory!$A$4:$I$21,2,FALSE()))</f>
        <v/>
      </c>
      <c r="F69" s="18"/>
      <c r="G69" s="31" t="str">
        <f>IF(D69="","",VLOOKUP(D69,Inventory!$A$4:$I$21,5,FALSE()))</f>
        <v/>
      </c>
      <c r="H69" s="31" t="str">
        <f>IF(OR(D69="",F69=""),"",F69*G69)</f>
        <v/>
      </c>
      <c r="I69" s="31" t="str">
        <f>IF(OR(D69="",F69=""),"",F69*VLOOKUP(D69,Inventory!$A$4:$I$21,4,FALSE()))</f>
        <v/>
      </c>
      <c r="J69" s="31" t="str">
        <f>IF(H69="","",H69-I69)</f>
        <v/>
      </c>
      <c r="K69" s="19"/>
      <c r="L69" s="17"/>
      <c r="Z69" s="15" t="str">
        <f>IF(K69="Credit",COUNTIF(K$4:K69,"Credit"),"")</f>
        <v/>
      </c>
    </row>
    <row r="70" spans="1:26" ht="15" customHeight="1" x14ac:dyDescent="0.2">
      <c r="A70" s="29" t="str">
        <f ca="1">IF(D70="","",IF(N(A70)=0,TODAY(),A70))</f>
        <v/>
      </c>
      <c r="B70" s="30" t="str">
        <f ca="1">IF(D70="","",IF(N(B70)=0,ROUND(MOD(NOW(),1)*1440,0)/1440,B70))</f>
        <v/>
      </c>
      <c r="C70" s="19" t="str">
        <f>IF(D70="","","T"&amp;(1000+COUNTIF($D$4:D70,"&lt;&gt;")))</f>
        <v/>
      </c>
      <c r="D70" s="19"/>
      <c r="E70" s="17" t="str">
        <f>IF(D70="","",VLOOKUP(D70,Inventory!$A$4:$I$21,2,FALSE()))</f>
        <v/>
      </c>
      <c r="F70" s="18"/>
      <c r="G70" s="31" t="str">
        <f>IF(D70="","",VLOOKUP(D70,Inventory!$A$4:$I$21,5,FALSE()))</f>
        <v/>
      </c>
      <c r="H70" s="31" t="str">
        <f>IF(OR(D70="",F70=""),"",F70*G70)</f>
        <v/>
      </c>
      <c r="I70" s="31" t="str">
        <f>IF(OR(D70="",F70=""),"",F70*VLOOKUP(D70,Inventory!$A$4:$I$21,4,FALSE()))</f>
        <v/>
      </c>
      <c r="J70" s="31" t="str">
        <f>IF(H70="","",H70-I70)</f>
        <v/>
      </c>
      <c r="K70" s="19"/>
      <c r="L70" s="17"/>
      <c r="Z70" s="15" t="str">
        <f>IF(K70="Credit",COUNTIF(K$4:K70,"Credit"),"")</f>
        <v/>
      </c>
    </row>
    <row r="71" spans="1:26" ht="15" customHeight="1" x14ac:dyDescent="0.2">
      <c r="A71" s="29" t="str">
        <f ca="1">IF(D71="","",IF(N(A71)=0,TODAY(),A71))</f>
        <v/>
      </c>
      <c r="B71" s="30" t="str">
        <f ca="1">IF(D71="","",IF(N(B71)=0,ROUND(MOD(NOW(),1)*1440,0)/1440,B71))</f>
        <v/>
      </c>
      <c r="C71" s="19" t="str">
        <f>IF(D71="","","T"&amp;(1000+COUNTIF($D$4:D71,"&lt;&gt;")))</f>
        <v/>
      </c>
      <c r="D71" s="19"/>
      <c r="E71" s="17" t="str">
        <f>IF(D71="","",VLOOKUP(D71,Inventory!$A$4:$I$21,2,FALSE()))</f>
        <v/>
      </c>
      <c r="F71" s="18"/>
      <c r="G71" s="31" t="str">
        <f>IF(D71="","",VLOOKUP(D71,Inventory!$A$4:$I$21,5,FALSE()))</f>
        <v/>
      </c>
      <c r="H71" s="31" t="str">
        <f>IF(OR(D71="",F71=""),"",F71*G71)</f>
        <v/>
      </c>
      <c r="I71" s="31" t="str">
        <f>IF(OR(D71="",F71=""),"",F71*VLOOKUP(D71,Inventory!$A$4:$I$21,4,FALSE()))</f>
        <v/>
      </c>
      <c r="J71" s="31" t="str">
        <f>IF(H71="","",H71-I71)</f>
        <v/>
      </c>
      <c r="K71" s="19"/>
      <c r="L71" s="17"/>
      <c r="Z71" s="15" t="str">
        <f>IF(K71="Credit",COUNTIF(K$4:K71,"Credit"),"")</f>
        <v/>
      </c>
    </row>
    <row r="72" spans="1:26" ht="15" customHeight="1" x14ac:dyDescent="0.2">
      <c r="A72" s="29" t="str">
        <f ca="1">IF(D72="","",IF(N(A72)=0,TODAY(),A72))</f>
        <v/>
      </c>
      <c r="B72" s="30" t="str">
        <f ca="1">IF(D72="","",IF(N(B72)=0,ROUND(MOD(NOW(),1)*1440,0)/1440,B72))</f>
        <v/>
      </c>
      <c r="C72" s="19" t="str">
        <f>IF(D72="","","T"&amp;(1000+COUNTIF($D$4:D72,"&lt;&gt;")))</f>
        <v/>
      </c>
      <c r="D72" s="19"/>
      <c r="E72" s="17" t="str">
        <f>IF(D72="","",VLOOKUP(D72,Inventory!$A$4:$I$21,2,FALSE()))</f>
        <v/>
      </c>
      <c r="F72" s="18"/>
      <c r="G72" s="31" t="str">
        <f>IF(D72="","",VLOOKUP(D72,Inventory!$A$4:$I$21,5,FALSE()))</f>
        <v/>
      </c>
      <c r="H72" s="31" t="str">
        <f>IF(OR(D72="",F72=""),"",F72*G72)</f>
        <v/>
      </c>
      <c r="I72" s="31" t="str">
        <f>IF(OR(D72="",F72=""),"",F72*VLOOKUP(D72,Inventory!$A$4:$I$21,4,FALSE()))</f>
        <v/>
      </c>
      <c r="J72" s="31" t="str">
        <f>IF(H72="","",H72-I72)</f>
        <v/>
      </c>
      <c r="K72" s="19"/>
      <c r="L72" s="17"/>
      <c r="Z72" s="15" t="str">
        <f>IF(K72="Credit",COUNTIF(K$4:K72,"Credit"),"")</f>
        <v/>
      </c>
    </row>
    <row r="73" spans="1:26" ht="15" customHeight="1" x14ac:dyDescent="0.2">
      <c r="A73" s="29" t="str">
        <f ca="1">IF(D73="","",IF(N(A73)=0,TODAY(),A73))</f>
        <v/>
      </c>
      <c r="B73" s="30" t="str">
        <f ca="1">IF(D73="","",IF(N(B73)=0,ROUND(MOD(NOW(),1)*1440,0)/1440,B73))</f>
        <v/>
      </c>
      <c r="C73" s="19" t="str">
        <f>IF(D73="","","T"&amp;(1000+COUNTIF($D$4:D73,"&lt;&gt;")))</f>
        <v/>
      </c>
      <c r="D73" s="19"/>
      <c r="E73" s="17" t="str">
        <f>IF(D73="","",VLOOKUP(D73,Inventory!$A$4:$I$21,2,FALSE()))</f>
        <v/>
      </c>
      <c r="F73" s="18"/>
      <c r="G73" s="31" t="str">
        <f>IF(D73="","",VLOOKUP(D73,Inventory!$A$4:$I$21,5,FALSE()))</f>
        <v/>
      </c>
      <c r="H73" s="31" t="str">
        <f>IF(OR(D73="",F73=""),"",F73*G73)</f>
        <v/>
      </c>
      <c r="I73" s="31" t="str">
        <f>IF(OR(D73="",F73=""),"",F73*VLOOKUP(D73,Inventory!$A$4:$I$21,4,FALSE()))</f>
        <v/>
      </c>
      <c r="J73" s="31" t="str">
        <f>IF(H73="","",H73-I73)</f>
        <v/>
      </c>
      <c r="K73" s="19"/>
      <c r="L73" s="17"/>
      <c r="Z73" s="15" t="str">
        <f>IF(K73="Credit",COUNTIF(K$4:K73,"Credit"),"")</f>
        <v/>
      </c>
    </row>
    <row r="74" spans="1:26" ht="15" customHeight="1" x14ac:dyDescent="0.2">
      <c r="A74" s="29" t="str">
        <f ca="1">IF(D74="","",IF(N(A74)=0,TODAY(),A74))</f>
        <v/>
      </c>
      <c r="B74" s="30" t="str">
        <f ca="1">IF(D74="","",IF(N(B74)=0,ROUND(MOD(NOW(),1)*1440,0)/1440,B74))</f>
        <v/>
      </c>
      <c r="C74" s="19" t="str">
        <f>IF(D74="","","T"&amp;(1000+COUNTIF($D$4:D74,"&lt;&gt;")))</f>
        <v/>
      </c>
      <c r="D74" s="19"/>
      <c r="E74" s="17" t="str">
        <f>IF(D74="","",VLOOKUP(D74,Inventory!$A$4:$I$21,2,FALSE()))</f>
        <v/>
      </c>
      <c r="F74" s="18"/>
      <c r="G74" s="31" t="str">
        <f>IF(D74="","",VLOOKUP(D74,Inventory!$A$4:$I$21,5,FALSE()))</f>
        <v/>
      </c>
      <c r="H74" s="31" t="str">
        <f>IF(OR(D74="",F74=""),"",F74*G74)</f>
        <v/>
      </c>
      <c r="I74" s="31" t="str">
        <f>IF(OR(D74="",F74=""),"",F74*VLOOKUP(D74,Inventory!$A$4:$I$21,4,FALSE()))</f>
        <v/>
      </c>
      <c r="J74" s="31" t="str">
        <f>IF(H74="","",H74-I74)</f>
        <v/>
      </c>
      <c r="K74" s="19"/>
      <c r="L74" s="17"/>
      <c r="Z74" s="15" t="str">
        <f>IF(K74="Credit",COUNTIF(K$4:K74,"Credit"),"")</f>
        <v/>
      </c>
    </row>
    <row r="75" spans="1:26" ht="15" customHeight="1" x14ac:dyDescent="0.2">
      <c r="A75" s="29" t="str">
        <f ca="1">IF(D75="","",IF(N(A75)=0,TODAY(),A75))</f>
        <v/>
      </c>
      <c r="B75" s="30" t="str">
        <f ca="1">IF(D75="","",IF(N(B75)=0,ROUND(MOD(NOW(),1)*1440,0)/1440,B75))</f>
        <v/>
      </c>
      <c r="C75" s="19" t="str">
        <f>IF(D75="","","T"&amp;(1000+COUNTIF($D$4:D75,"&lt;&gt;")))</f>
        <v/>
      </c>
      <c r="D75" s="19"/>
      <c r="E75" s="17" t="str">
        <f>IF(D75="","",VLOOKUP(D75,Inventory!$A$4:$I$21,2,FALSE()))</f>
        <v/>
      </c>
      <c r="F75" s="18"/>
      <c r="G75" s="31" t="str">
        <f>IF(D75="","",VLOOKUP(D75,Inventory!$A$4:$I$21,5,FALSE()))</f>
        <v/>
      </c>
      <c r="H75" s="31" t="str">
        <f>IF(OR(D75="",F75=""),"",F75*G75)</f>
        <v/>
      </c>
      <c r="I75" s="31" t="str">
        <f>IF(OR(D75="",F75=""),"",F75*VLOOKUP(D75,Inventory!$A$4:$I$21,4,FALSE()))</f>
        <v/>
      </c>
      <c r="J75" s="31" t="str">
        <f>IF(H75="","",H75-I75)</f>
        <v/>
      </c>
      <c r="K75" s="19"/>
      <c r="L75" s="17"/>
      <c r="Z75" s="15" t="str">
        <f>IF(K75="Credit",COUNTIF(K$4:K75,"Credit"),"")</f>
        <v/>
      </c>
    </row>
    <row r="76" spans="1:26" ht="15" customHeight="1" x14ac:dyDescent="0.2">
      <c r="A76" s="29" t="str">
        <f ca="1">IF(D76="","",IF(N(A76)=0,TODAY(),A76))</f>
        <v/>
      </c>
      <c r="B76" s="30" t="str">
        <f ca="1">IF(D76="","",IF(N(B76)=0,ROUND(MOD(NOW(),1)*1440,0)/1440,B76))</f>
        <v/>
      </c>
      <c r="C76" s="19" t="str">
        <f>IF(D76="","","T"&amp;(1000+COUNTIF($D$4:D76,"&lt;&gt;")))</f>
        <v/>
      </c>
      <c r="D76" s="19"/>
      <c r="E76" s="17" t="str">
        <f>IF(D76="","",VLOOKUP(D76,Inventory!$A$4:$I$21,2,FALSE()))</f>
        <v/>
      </c>
      <c r="F76" s="18"/>
      <c r="G76" s="31" t="str">
        <f>IF(D76="","",VLOOKUP(D76,Inventory!$A$4:$I$21,5,FALSE()))</f>
        <v/>
      </c>
      <c r="H76" s="31" t="str">
        <f>IF(OR(D76="",F76=""),"",F76*G76)</f>
        <v/>
      </c>
      <c r="I76" s="31" t="str">
        <f>IF(OR(D76="",F76=""),"",F76*VLOOKUP(D76,Inventory!$A$4:$I$21,4,FALSE()))</f>
        <v/>
      </c>
      <c r="J76" s="31" t="str">
        <f>IF(H76="","",H76-I76)</f>
        <v/>
      </c>
      <c r="K76" s="19"/>
      <c r="L76" s="17"/>
      <c r="Z76" s="15" t="str">
        <f>IF(K76="Credit",COUNTIF(K$4:K76,"Credit"),"")</f>
        <v/>
      </c>
    </row>
    <row r="77" spans="1:26" ht="15" customHeight="1" x14ac:dyDescent="0.2">
      <c r="A77" s="29" t="str">
        <f ca="1">IF(D77="","",IF(N(A77)=0,TODAY(),A77))</f>
        <v/>
      </c>
      <c r="B77" s="30" t="str">
        <f ca="1">IF(D77="","",IF(N(B77)=0,ROUND(MOD(NOW(),1)*1440,0)/1440,B77))</f>
        <v/>
      </c>
      <c r="C77" s="19" t="str">
        <f>IF(D77="","","T"&amp;(1000+COUNTIF($D$4:D77,"&lt;&gt;")))</f>
        <v/>
      </c>
      <c r="D77" s="19"/>
      <c r="E77" s="17" t="str">
        <f>IF(D77="","",VLOOKUP(D77,Inventory!$A$4:$I$21,2,FALSE()))</f>
        <v/>
      </c>
      <c r="F77" s="18"/>
      <c r="G77" s="31" t="str">
        <f>IF(D77="","",VLOOKUP(D77,Inventory!$A$4:$I$21,5,FALSE()))</f>
        <v/>
      </c>
      <c r="H77" s="31" t="str">
        <f>IF(OR(D77="",F77=""),"",F77*G77)</f>
        <v/>
      </c>
      <c r="I77" s="31" t="str">
        <f>IF(OR(D77="",F77=""),"",F77*VLOOKUP(D77,Inventory!$A$4:$I$21,4,FALSE()))</f>
        <v/>
      </c>
      <c r="J77" s="31" t="str">
        <f>IF(H77="","",H77-I77)</f>
        <v/>
      </c>
      <c r="K77" s="19"/>
      <c r="L77" s="17"/>
      <c r="Z77" s="15" t="str">
        <f>IF(K77="Credit",COUNTIF(K$4:K77,"Credit"),"")</f>
        <v/>
      </c>
    </row>
    <row r="78" spans="1:26" ht="15" customHeight="1" x14ac:dyDescent="0.2">
      <c r="A78" s="29" t="str">
        <f ca="1">IF(D78="","",IF(N(A78)=0,TODAY(),A78))</f>
        <v/>
      </c>
      <c r="B78" s="30" t="str">
        <f ca="1">IF(D78="","",IF(N(B78)=0,ROUND(MOD(NOW(),1)*1440,0)/1440,B78))</f>
        <v/>
      </c>
      <c r="C78" s="19" t="str">
        <f>IF(D78="","","T"&amp;(1000+COUNTIF($D$4:D78,"&lt;&gt;")))</f>
        <v/>
      </c>
      <c r="D78" s="19"/>
      <c r="E78" s="17" t="str">
        <f>IF(D78="","",VLOOKUP(D78,Inventory!$A$4:$I$21,2,FALSE()))</f>
        <v/>
      </c>
      <c r="F78" s="18"/>
      <c r="G78" s="31" t="str">
        <f>IF(D78="","",VLOOKUP(D78,Inventory!$A$4:$I$21,5,FALSE()))</f>
        <v/>
      </c>
      <c r="H78" s="31" t="str">
        <f>IF(OR(D78="",F78=""),"",F78*G78)</f>
        <v/>
      </c>
      <c r="I78" s="31" t="str">
        <f>IF(OR(D78="",F78=""),"",F78*VLOOKUP(D78,Inventory!$A$4:$I$21,4,FALSE()))</f>
        <v/>
      </c>
      <c r="J78" s="31" t="str">
        <f>IF(H78="","",H78-I78)</f>
        <v/>
      </c>
      <c r="K78" s="19"/>
      <c r="L78" s="17"/>
      <c r="Z78" s="15" t="str">
        <f>IF(K78="Credit",COUNTIF(K$4:K78,"Credit"),"")</f>
        <v/>
      </c>
    </row>
    <row r="79" spans="1:26" ht="15" customHeight="1" x14ac:dyDescent="0.2">
      <c r="A79" s="29" t="str">
        <f ca="1">IF(D79="","",IF(N(A79)=0,TODAY(),A79))</f>
        <v/>
      </c>
      <c r="B79" s="30" t="str">
        <f ca="1">IF(D79="","",IF(N(B79)=0,ROUND(MOD(NOW(),1)*1440,0)/1440,B79))</f>
        <v/>
      </c>
      <c r="C79" s="19" t="str">
        <f>IF(D79="","","T"&amp;(1000+COUNTIF($D$4:D79,"&lt;&gt;")))</f>
        <v/>
      </c>
      <c r="D79" s="19"/>
      <c r="E79" s="17" t="str">
        <f>IF(D79="","",VLOOKUP(D79,Inventory!$A$4:$I$21,2,FALSE()))</f>
        <v/>
      </c>
      <c r="F79" s="18"/>
      <c r="G79" s="31" t="str">
        <f>IF(D79="","",VLOOKUP(D79,Inventory!$A$4:$I$21,5,FALSE()))</f>
        <v/>
      </c>
      <c r="H79" s="31" t="str">
        <f>IF(OR(D79="",F79=""),"",F79*G79)</f>
        <v/>
      </c>
      <c r="I79" s="31" t="str">
        <f>IF(OR(D79="",F79=""),"",F79*VLOOKUP(D79,Inventory!$A$4:$I$21,4,FALSE()))</f>
        <v/>
      </c>
      <c r="J79" s="31" t="str">
        <f>IF(H79="","",H79-I79)</f>
        <v/>
      </c>
      <c r="K79" s="19"/>
      <c r="L79" s="17"/>
      <c r="Z79" s="15" t="str">
        <f>IF(K79="Credit",COUNTIF(K$4:K79,"Credit"),"")</f>
        <v/>
      </c>
    </row>
    <row r="80" spans="1:26" ht="15" customHeight="1" x14ac:dyDescent="0.2">
      <c r="A80" s="29" t="str">
        <f ca="1">IF(D80="","",IF(N(A80)=0,TODAY(),A80))</f>
        <v/>
      </c>
      <c r="B80" s="30" t="str">
        <f ca="1">IF(D80="","",IF(N(B80)=0,ROUND(MOD(NOW(),1)*1440,0)/1440,B80))</f>
        <v/>
      </c>
      <c r="C80" s="19" t="str">
        <f>IF(D80="","","T"&amp;(1000+COUNTIF($D$4:D80,"&lt;&gt;")))</f>
        <v/>
      </c>
      <c r="D80" s="19"/>
      <c r="E80" s="17" t="str">
        <f>IF(D80="","",VLOOKUP(D80,Inventory!$A$4:$I$21,2,FALSE()))</f>
        <v/>
      </c>
      <c r="F80" s="18"/>
      <c r="G80" s="31" t="str">
        <f>IF(D80="","",VLOOKUP(D80,Inventory!$A$4:$I$21,5,FALSE()))</f>
        <v/>
      </c>
      <c r="H80" s="31" t="str">
        <f>IF(OR(D80="",F80=""),"",F80*G80)</f>
        <v/>
      </c>
      <c r="I80" s="31" t="str">
        <f>IF(OR(D80="",F80=""),"",F80*VLOOKUP(D80,Inventory!$A$4:$I$21,4,FALSE()))</f>
        <v/>
      </c>
      <c r="J80" s="31" t="str">
        <f>IF(H80="","",H80-I80)</f>
        <v/>
      </c>
      <c r="K80" s="19"/>
      <c r="L80" s="17"/>
      <c r="Z80" s="15" t="str">
        <f>IF(K80="Credit",COUNTIF(K$4:K80,"Credit"),"")</f>
        <v/>
      </c>
    </row>
    <row r="81" spans="1:26" ht="15" customHeight="1" x14ac:dyDescent="0.2">
      <c r="A81" s="29" t="str">
        <f ca="1">IF(D81="","",IF(N(A81)=0,TODAY(),A81))</f>
        <v/>
      </c>
      <c r="B81" s="30" t="str">
        <f ca="1">IF(D81="","",IF(N(B81)=0,ROUND(MOD(NOW(),1)*1440,0)/1440,B81))</f>
        <v/>
      </c>
      <c r="C81" s="19" t="str">
        <f>IF(D81="","","T"&amp;(1000+COUNTIF($D$4:D81,"&lt;&gt;")))</f>
        <v/>
      </c>
      <c r="D81" s="19"/>
      <c r="E81" s="17" t="str">
        <f>IF(D81="","",VLOOKUP(D81,Inventory!$A$4:$I$21,2,FALSE()))</f>
        <v/>
      </c>
      <c r="F81" s="18"/>
      <c r="G81" s="31" t="str">
        <f>IF(D81="","",VLOOKUP(D81,Inventory!$A$4:$I$21,5,FALSE()))</f>
        <v/>
      </c>
      <c r="H81" s="31" t="str">
        <f>IF(OR(D81="",F81=""),"",F81*G81)</f>
        <v/>
      </c>
      <c r="I81" s="31" t="str">
        <f>IF(OR(D81="",F81=""),"",F81*VLOOKUP(D81,Inventory!$A$4:$I$21,4,FALSE()))</f>
        <v/>
      </c>
      <c r="J81" s="31" t="str">
        <f>IF(H81="","",H81-I81)</f>
        <v/>
      </c>
      <c r="K81" s="19"/>
      <c r="L81" s="17"/>
      <c r="Z81" s="15" t="str">
        <f>IF(K81="Credit",COUNTIF(K$4:K81,"Credit"),"")</f>
        <v/>
      </c>
    </row>
    <row r="82" spans="1:26" ht="15" customHeight="1" x14ac:dyDescent="0.2">
      <c r="A82" s="29" t="str">
        <f ca="1">IF(D82="","",IF(N(A82)=0,TODAY(),A82))</f>
        <v/>
      </c>
      <c r="B82" s="30" t="str">
        <f ca="1">IF(D82="","",IF(N(B82)=0,ROUND(MOD(NOW(),1)*1440,0)/1440,B82))</f>
        <v/>
      </c>
      <c r="C82" s="19" t="str">
        <f>IF(D82="","","T"&amp;(1000+COUNTIF($D$4:D82,"&lt;&gt;")))</f>
        <v/>
      </c>
      <c r="D82" s="19"/>
      <c r="E82" s="17" t="str">
        <f>IF(D82="","",VLOOKUP(D82,Inventory!$A$4:$I$21,2,FALSE()))</f>
        <v/>
      </c>
      <c r="F82" s="18"/>
      <c r="G82" s="31" t="str">
        <f>IF(D82="","",VLOOKUP(D82,Inventory!$A$4:$I$21,5,FALSE()))</f>
        <v/>
      </c>
      <c r="H82" s="31" t="str">
        <f>IF(OR(D82="",F82=""),"",F82*G82)</f>
        <v/>
      </c>
      <c r="I82" s="31" t="str">
        <f>IF(OR(D82="",F82=""),"",F82*VLOOKUP(D82,Inventory!$A$4:$I$21,4,FALSE()))</f>
        <v/>
      </c>
      <c r="J82" s="31" t="str">
        <f>IF(H82="","",H82-I82)</f>
        <v/>
      </c>
      <c r="K82" s="19"/>
      <c r="L82" s="17"/>
      <c r="Z82" s="15" t="str">
        <f>IF(K82="Credit",COUNTIF(K$4:K82,"Credit"),"")</f>
        <v/>
      </c>
    </row>
    <row r="83" spans="1:26" ht="15" customHeight="1" x14ac:dyDescent="0.2">
      <c r="A83" s="29" t="str">
        <f ca="1">IF(D83="","",IF(N(A83)=0,TODAY(),A83))</f>
        <v/>
      </c>
      <c r="B83" s="30" t="str">
        <f ca="1">IF(D83="","",IF(N(B83)=0,ROUND(MOD(NOW(),1)*1440,0)/1440,B83))</f>
        <v/>
      </c>
      <c r="C83" s="19" t="str">
        <f>IF(D83="","","T"&amp;(1000+COUNTIF($D$4:D83,"&lt;&gt;")))</f>
        <v/>
      </c>
      <c r="D83" s="19"/>
      <c r="E83" s="17" t="str">
        <f>IF(D83="","",VLOOKUP(D83,Inventory!$A$4:$I$21,2,FALSE()))</f>
        <v/>
      </c>
      <c r="F83" s="18"/>
      <c r="G83" s="31" t="str">
        <f>IF(D83="","",VLOOKUP(D83,Inventory!$A$4:$I$21,5,FALSE()))</f>
        <v/>
      </c>
      <c r="H83" s="31" t="str">
        <f>IF(OR(D83="",F83=""),"",F83*G83)</f>
        <v/>
      </c>
      <c r="I83" s="31" t="str">
        <f>IF(OR(D83="",F83=""),"",F83*VLOOKUP(D83,Inventory!$A$4:$I$21,4,FALSE()))</f>
        <v/>
      </c>
      <c r="J83" s="31" t="str">
        <f>IF(H83="","",H83-I83)</f>
        <v/>
      </c>
      <c r="K83" s="19"/>
      <c r="L83" s="17"/>
      <c r="Z83" s="15" t="str">
        <f>IF(K83="Credit",COUNTIF(K$4:K83,"Credit"),"")</f>
        <v/>
      </c>
    </row>
    <row r="84" spans="1:26" ht="15" customHeight="1" x14ac:dyDescent="0.2">
      <c r="A84" s="29" t="str">
        <f ca="1">IF(D84="","",IF(N(A84)=0,TODAY(),A84))</f>
        <v/>
      </c>
      <c r="B84" s="30" t="str">
        <f ca="1">IF(D84="","",IF(N(B84)=0,ROUND(MOD(NOW(),1)*1440,0)/1440,B84))</f>
        <v/>
      </c>
      <c r="C84" s="19" t="str">
        <f>IF(D84="","","T"&amp;(1000+COUNTIF($D$4:D84,"&lt;&gt;")))</f>
        <v/>
      </c>
      <c r="D84" s="19"/>
      <c r="E84" s="17" t="str">
        <f>IF(D84="","",VLOOKUP(D84,Inventory!$A$4:$I$21,2,FALSE()))</f>
        <v/>
      </c>
      <c r="F84" s="18"/>
      <c r="G84" s="31" t="str">
        <f>IF(D84="","",VLOOKUP(D84,Inventory!$A$4:$I$21,5,FALSE()))</f>
        <v/>
      </c>
      <c r="H84" s="31" t="str">
        <f>IF(OR(D84="",F84=""),"",F84*G84)</f>
        <v/>
      </c>
      <c r="I84" s="31" t="str">
        <f>IF(OR(D84="",F84=""),"",F84*VLOOKUP(D84,Inventory!$A$4:$I$21,4,FALSE()))</f>
        <v/>
      </c>
      <c r="J84" s="31" t="str">
        <f>IF(H84="","",H84-I84)</f>
        <v/>
      </c>
      <c r="K84" s="19"/>
      <c r="L84" s="17"/>
      <c r="Z84" s="15" t="str">
        <f>IF(K84="Credit",COUNTIF(K$4:K84,"Credit"),"")</f>
        <v/>
      </c>
    </row>
    <row r="85" spans="1:26" ht="15" customHeight="1" x14ac:dyDescent="0.2">
      <c r="A85" s="29" t="str">
        <f ca="1">IF(D85="","",IF(N(A85)=0,TODAY(),A85))</f>
        <v/>
      </c>
      <c r="B85" s="30" t="str">
        <f ca="1">IF(D85="","",IF(N(B85)=0,ROUND(MOD(NOW(),1)*1440,0)/1440,B85))</f>
        <v/>
      </c>
      <c r="C85" s="19" t="str">
        <f>IF(D85="","","T"&amp;(1000+COUNTIF($D$4:D85,"&lt;&gt;")))</f>
        <v/>
      </c>
      <c r="D85" s="19"/>
      <c r="E85" s="17" t="str">
        <f>IF(D85="","",VLOOKUP(D85,Inventory!$A$4:$I$21,2,FALSE()))</f>
        <v/>
      </c>
      <c r="F85" s="18"/>
      <c r="G85" s="31" t="str">
        <f>IF(D85="","",VLOOKUP(D85,Inventory!$A$4:$I$21,5,FALSE()))</f>
        <v/>
      </c>
      <c r="H85" s="31" t="str">
        <f>IF(OR(D85="",F85=""),"",F85*G85)</f>
        <v/>
      </c>
      <c r="I85" s="31" t="str">
        <f>IF(OR(D85="",F85=""),"",F85*VLOOKUP(D85,Inventory!$A$4:$I$21,4,FALSE()))</f>
        <v/>
      </c>
      <c r="J85" s="31" t="str">
        <f>IF(H85="","",H85-I85)</f>
        <v/>
      </c>
      <c r="K85" s="19"/>
      <c r="L85" s="17"/>
      <c r="Z85" s="15" t="str">
        <f>IF(K85="Credit",COUNTIF(K$4:K85,"Credit"),"")</f>
        <v/>
      </c>
    </row>
    <row r="86" spans="1:26" ht="15" customHeight="1" x14ac:dyDescent="0.2">
      <c r="A86" s="29" t="str">
        <f ca="1">IF(D86="","",IF(N(A86)=0,TODAY(),A86))</f>
        <v/>
      </c>
      <c r="B86" s="30" t="str">
        <f ca="1">IF(D86="","",IF(N(B86)=0,ROUND(MOD(NOW(),1)*1440,0)/1440,B86))</f>
        <v/>
      </c>
      <c r="C86" s="19" t="str">
        <f>IF(D86="","","T"&amp;(1000+COUNTIF($D$4:D86,"&lt;&gt;")))</f>
        <v/>
      </c>
      <c r="D86" s="19"/>
      <c r="E86" s="17" t="str">
        <f>IF(D86="","",VLOOKUP(D86,Inventory!$A$4:$I$21,2,FALSE()))</f>
        <v/>
      </c>
      <c r="F86" s="18"/>
      <c r="G86" s="31" t="str">
        <f>IF(D86="","",VLOOKUP(D86,Inventory!$A$4:$I$21,5,FALSE()))</f>
        <v/>
      </c>
      <c r="H86" s="31" t="str">
        <f>IF(OR(D86="",F86=""),"",F86*G86)</f>
        <v/>
      </c>
      <c r="I86" s="31" t="str">
        <f>IF(OR(D86="",F86=""),"",F86*VLOOKUP(D86,Inventory!$A$4:$I$21,4,FALSE()))</f>
        <v/>
      </c>
      <c r="J86" s="31" t="str">
        <f>IF(H86="","",H86-I86)</f>
        <v/>
      </c>
      <c r="K86" s="19"/>
      <c r="L86" s="17"/>
      <c r="Z86" s="15" t="str">
        <f>IF(K86="Credit",COUNTIF(K$4:K86,"Credit"),"")</f>
        <v/>
      </c>
    </row>
    <row r="87" spans="1:26" ht="15" customHeight="1" x14ac:dyDescent="0.2">
      <c r="A87" s="29" t="str">
        <f ca="1">IF(D87="","",IF(N(A87)=0,TODAY(),A87))</f>
        <v/>
      </c>
      <c r="B87" s="30" t="str">
        <f ca="1">IF(D87="","",IF(N(B87)=0,ROUND(MOD(NOW(),1)*1440,0)/1440,B87))</f>
        <v/>
      </c>
      <c r="C87" s="19" t="str">
        <f>IF(D87="","","T"&amp;(1000+COUNTIF($D$4:D87,"&lt;&gt;")))</f>
        <v/>
      </c>
      <c r="D87" s="19"/>
      <c r="E87" s="17" t="str">
        <f>IF(D87="","",VLOOKUP(D87,Inventory!$A$4:$I$21,2,FALSE()))</f>
        <v/>
      </c>
      <c r="F87" s="18"/>
      <c r="G87" s="31" t="str">
        <f>IF(D87="","",VLOOKUP(D87,Inventory!$A$4:$I$21,5,FALSE()))</f>
        <v/>
      </c>
      <c r="H87" s="31" t="str">
        <f>IF(OR(D87="",F87=""),"",F87*G87)</f>
        <v/>
      </c>
      <c r="I87" s="31" t="str">
        <f>IF(OR(D87="",F87=""),"",F87*VLOOKUP(D87,Inventory!$A$4:$I$21,4,FALSE()))</f>
        <v/>
      </c>
      <c r="J87" s="31" t="str">
        <f>IF(H87="","",H87-I87)</f>
        <v/>
      </c>
      <c r="K87" s="19"/>
      <c r="L87" s="17"/>
      <c r="Z87" s="15" t="str">
        <f>IF(K87="Credit",COUNTIF(K$4:K87,"Credit"),"")</f>
        <v/>
      </c>
    </row>
    <row r="88" spans="1:26" ht="15" customHeight="1" x14ac:dyDescent="0.2">
      <c r="A88" s="29" t="str">
        <f ca="1">IF(D88="","",IF(N(A88)=0,TODAY(),A88))</f>
        <v/>
      </c>
      <c r="B88" s="30" t="str">
        <f ca="1">IF(D88="","",IF(N(B88)=0,ROUND(MOD(NOW(),1)*1440,0)/1440,B88))</f>
        <v/>
      </c>
      <c r="C88" s="19" t="str">
        <f>IF(D88="","","T"&amp;(1000+COUNTIF($D$4:D88,"&lt;&gt;")))</f>
        <v/>
      </c>
      <c r="D88" s="19"/>
      <c r="E88" s="17" t="str">
        <f>IF(D88="","",VLOOKUP(D88,Inventory!$A$4:$I$21,2,FALSE()))</f>
        <v/>
      </c>
      <c r="F88" s="18"/>
      <c r="G88" s="31" t="str">
        <f>IF(D88="","",VLOOKUP(D88,Inventory!$A$4:$I$21,5,FALSE()))</f>
        <v/>
      </c>
      <c r="H88" s="31" t="str">
        <f>IF(OR(D88="",F88=""),"",F88*G88)</f>
        <v/>
      </c>
      <c r="I88" s="31" t="str">
        <f>IF(OR(D88="",F88=""),"",F88*VLOOKUP(D88,Inventory!$A$4:$I$21,4,FALSE()))</f>
        <v/>
      </c>
      <c r="J88" s="31" t="str">
        <f>IF(H88="","",H88-I88)</f>
        <v/>
      </c>
      <c r="K88" s="19"/>
      <c r="L88" s="17"/>
      <c r="Z88" s="15" t="str">
        <f>IF(K88="Credit",COUNTIF(K$4:K88,"Credit"),"")</f>
        <v/>
      </c>
    </row>
    <row r="89" spans="1:26" ht="15" customHeight="1" x14ac:dyDescent="0.2">
      <c r="A89" s="29" t="str">
        <f ca="1">IF(D89="","",IF(N(A89)=0,TODAY(),A89))</f>
        <v/>
      </c>
      <c r="B89" s="30" t="str">
        <f ca="1">IF(D89="","",IF(N(B89)=0,ROUND(MOD(NOW(),1)*1440,0)/1440,B89))</f>
        <v/>
      </c>
      <c r="C89" s="19" t="str">
        <f>IF(D89="","","T"&amp;(1000+COUNTIF($D$4:D89,"&lt;&gt;")))</f>
        <v/>
      </c>
      <c r="D89" s="19"/>
      <c r="E89" s="17" t="str">
        <f>IF(D89="","",VLOOKUP(D89,Inventory!$A$4:$I$21,2,FALSE()))</f>
        <v/>
      </c>
      <c r="F89" s="18"/>
      <c r="G89" s="31" t="str">
        <f>IF(D89="","",VLOOKUP(D89,Inventory!$A$4:$I$21,5,FALSE()))</f>
        <v/>
      </c>
      <c r="H89" s="31" t="str">
        <f>IF(OR(D89="",F89=""),"",F89*G89)</f>
        <v/>
      </c>
      <c r="I89" s="31" t="str">
        <f>IF(OR(D89="",F89=""),"",F89*VLOOKUP(D89,Inventory!$A$4:$I$21,4,FALSE()))</f>
        <v/>
      </c>
      <c r="J89" s="31" t="str">
        <f>IF(H89="","",H89-I89)</f>
        <v/>
      </c>
      <c r="K89" s="19"/>
      <c r="L89" s="17"/>
      <c r="Z89" s="15" t="str">
        <f>IF(K89="Credit",COUNTIF(K$4:K89,"Credit"),"")</f>
        <v/>
      </c>
    </row>
    <row r="90" spans="1:26" ht="15" customHeight="1" x14ac:dyDescent="0.2">
      <c r="A90" s="29" t="str">
        <f ca="1">IF(D90="","",IF(N(A90)=0,TODAY(),A90))</f>
        <v/>
      </c>
      <c r="B90" s="30" t="str">
        <f ca="1">IF(D90="","",IF(N(B90)=0,ROUND(MOD(NOW(),1)*1440,0)/1440,B90))</f>
        <v/>
      </c>
      <c r="C90" s="19" t="str">
        <f>IF(D90="","","T"&amp;(1000+COUNTIF($D$4:D90,"&lt;&gt;")))</f>
        <v/>
      </c>
      <c r="D90" s="19"/>
      <c r="E90" s="17" t="str">
        <f>IF(D90="","",VLOOKUP(D90,Inventory!$A$4:$I$21,2,FALSE()))</f>
        <v/>
      </c>
      <c r="F90" s="18"/>
      <c r="G90" s="31" t="str">
        <f>IF(D90="","",VLOOKUP(D90,Inventory!$A$4:$I$21,5,FALSE()))</f>
        <v/>
      </c>
      <c r="H90" s="31" t="str">
        <f>IF(OR(D90="",F90=""),"",F90*G90)</f>
        <v/>
      </c>
      <c r="I90" s="31" t="str">
        <f>IF(OR(D90="",F90=""),"",F90*VLOOKUP(D90,Inventory!$A$4:$I$21,4,FALSE()))</f>
        <v/>
      </c>
      <c r="J90" s="31" t="str">
        <f>IF(H90="","",H90-I90)</f>
        <v/>
      </c>
      <c r="K90" s="19"/>
      <c r="L90" s="17"/>
      <c r="Z90" s="15" t="str">
        <f>IF(K90="Credit",COUNTIF(K$4:K90,"Credit"),"")</f>
        <v/>
      </c>
    </row>
    <row r="91" spans="1:26" ht="15" customHeight="1" x14ac:dyDescent="0.2">
      <c r="A91" s="29" t="str">
        <f ca="1">IF(D91="","",IF(N(A91)=0,TODAY(),A91))</f>
        <v/>
      </c>
      <c r="B91" s="30" t="str">
        <f ca="1">IF(D91="","",IF(N(B91)=0,ROUND(MOD(NOW(),1)*1440,0)/1440,B91))</f>
        <v/>
      </c>
      <c r="C91" s="19" t="str">
        <f>IF(D91="","","T"&amp;(1000+COUNTIF($D$4:D91,"&lt;&gt;")))</f>
        <v/>
      </c>
      <c r="D91" s="19"/>
      <c r="E91" s="17" t="str">
        <f>IF(D91="","",VLOOKUP(D91,Inventory!$A$4:$I$21,2,FALSE()))</f>
        <v/>
      </c>
      <c r="F91" s="18"/>
      <c r="G91" s="31" t="str">
        <f>IF(D91="","",VLOOKUP(D91,Inventory!$A$4:$I$21,5,FALSE()))</f>
        <v/>
      </c>
      <c r="H91" s="31" t="str">
        <f>IF(OR(D91="",F91=""),"",F91*G91)</f>
        <v/>
      </c>
      <c r="I91" s="31" t="str">
        <f>IF(OR(D91="",F91=""),"",F91*VLOOKUP(D91,Inventory!$A$4:$I$21,4,FALSE()))</f>
        <v/>
      </c>
      <c r="J91" s="31" t="str">
        <f>IF(H91="","",H91-I91)</f>
        <v/>
      </c>
      <c r="K91" s="19"/>
      <c r="L91" s="17"/>
      <c r="Z91" s="15" t="str">
        <f>IF(K91="Credit",COUNTIF(K$4:K91,"Credit"),"")</f>
        <v/>
      </c>
    </row>
    <row r="92" spans="1:26" ht="15" customHeight="1" x14ac:dyDescent="0.2">
      <c r="A92" s="29" t="str">
        <f ca="1">IF(D92="","",IF(N(A92)=0,TODAY(),A92))</f>
        <v/>
      </c>
      <c r="B92" s="30" t="str">
        <f ca="1">IF(D92="","",IF(N(B92)=0,ROUND(MOD(NOW(),1)*1440,0)/1440,B92))</f>
        <v/>
      </c>
      <c r="C92" s="19" t="str">
        <f>IF(D92="","","T"&amp;(1000+COUNTIF($D$4:D92,"&lt;&gt;")))</f>
        <v/>
      </c>
      <c r="D92" s="19"/>
      <c r="E92" s="17" t="str">
        <f>IF(D92="","",VLOOKUP(D92,Inventory!$A$4:$I$21,2,FALSE()))</f>
        <v/>
      </c>
      <c r="F92" s="18"/>
      <c r="G92" s="31" t="str">
        <f>IF(D92="","",VLOOKUP(D92,Inventory!$A$4:$I$21,5,FALSE()))</f>
        <v/>
      </c>
      <c r="H92" s="31" t="str">
        <f>IF(OR(D92="",F92=""),"",F92*G92)</f>
        <v/>
      </c>
      <c r="I92" s="31" t="str">
        <f>IF(OR(D92="",F92=""),"",F92*VLOOKUP(D92,Inventory!$A$4:$I$21,4,FALSE()))</f>
        <v/>
      </c>
      <c r="J92" s="31" t="str">
        <f>IF(H92="","",H92-I92)</f>
        <v/>
      </c>
      <c r="K92" s="19"/>
      <c r="L92" s="17"/>
      <c r="Z92" s="15" t="str">
        <f>IF(K92="Credit",COUNTIF(K$4:K92,"Credit"),"")</f>
        <v/>
      </c>
    </row>
    <row r="93" spans="1:26" ht="15" customHeight="1" x14ac:dyDescent="0.2">
      <c r="A93" s="29" t="str">
        <f ca="1">IF(D93="","",IF(N(A93)=0,TODAY(),A93))</f>
        <v/>
      </c>
      <c r="B93" s="30" t="str">
        <f ca="1">IF(D93="","",IF(N(B93)=0,ROUND(MOD(NOW(),1)*1440,0)/1440,B93))</f>
        <v/>
      </c>
      <c r="C93" s="19" t="str">
        <f>IF(D93="","","T"&amp;(1000+COUNTIF($D$4:D93,"&lt;&gt;")))</f>
        <v/>
      </c>
      <c r="D93" s="19"/>
      <c r="E93" s="17" t="str">
        <f>IF(D93="","",VLOOKUP(D93,Inventory!$A$4:$I$21,2,FALSE()))</f>
        <v/>
      </c>
      <c r="F93" s="18"/>
      <c r="G93" s="31" t="str">
        <f>IF(D93="","",VLOOKUP(D93,Inventory!$A$4:$I$21,5,FALSE()))</f>
        <v/>
      </c>
      <c r="H93" s="31" t="str">
        <f>IF(OR(D93="",F93=""),"",F93*G93)</f>
        <v/>
      </c>
      <c r="I93" s="31" t="str">
        <f>IF(OR(D93="",F93=""),"",F93*VLOOKUP(D93,Inventory!$A$4:$I$21,4,FALSE()))</f>
        <v/>
      </c>
      <c r="J93" s="31" t="str">
        <f>IF(H93="","",H93-I93)</f>
        <v/>
      </c>
      <c r="K93" s="19"/>
      <c r="L93" s="17"/>
      <c r="Z93" s="15" t="str">
        <f>IF(K93="Credit",COUNTIF(K$4:K93,"Credit"),"")</f>
        <v/>
      </c>
    </row>
    <row r="94" spans="1:26" ht="15" customHeight="1" x14ac:dyDescent="0.2">
      <c r="A94" s="29" t="str">
        <f ca="1">IF(D94="","",IF(N(A94)=0,TODAY(),A94))</f>
        <v/>
      </c>
      <c r="B94" s="30" t="str">
        <f ca="1">IF(D94="","",IF(N(B94)=0,ROUND(MOD(NOW(),1)*1440,0)/1440,B94))</f>
        <v/>
      </c>
      <c r="C94" s="19" t="str">
        <f>IF(D94="","","T"&amp;(1000+COUNTIF($D$4:D94,"&lt;&gt;")))</f>
        <v/>
      </c>
      <c r="D94" s="19"/>
      <c r="E94" s="17" t="str">
        <f>IF(D94="","",VLOOKUP(D94,Inventory!$A$4:$I$21,2,FALSE()))</f>
        <v/>
      </c>
      <c r="F94" s="18"/>
      <c r="G94" s="31" t="str">
        <f>IF(D94="","",VLOOKUP(D94,Inventory!$A$4:$I$21,5,FALSE()))</f>
        <v/>
      </c>
      <c r="H94" s="31" t="str">
        <f>IF(OR(D94="",F94=""),"",F94*G94)</f>
        <v/>
      </c>
      <c r="I94" s="31" t="str">
        <f>IF(OR(D94="",F94=""),"",F94*VLOOKUP(D94,Inventory!$A$4:$I$21,4,FALSE()))</f>
        <v/>
      </c>
      <c r="J94" s="31" t="str">
        <f>IF(H94="","",H94-I94)</f>
        <v/>
      </c>
      <c r="K94" s="19"/>
      <c r="L94" s="17"/>
      <c r="Z94" s="15" t="str">
        <f>IF(K94="Credit",COUNTIF(K$4:K94,"Credit"),"")</f>
        <v/>
      </c>
    </row>
    <row r="95" spans="1:26" ht="15" customHeight="1" x14ac:dyDescent="0.2">
      <c r="A95" s="29" t="str">
        <f ca="1">IF(D95="","",IF(N(A95)=0,TODAY(),A95))</f>
        <v/>
      </c>
      <c r="B95" s="30" t="str">
        <f ca="1">IF(D95="","",IF(N(B95)=0,ROUND(MOD(NOW(),1)*1440,0)/1440,B95))</f>
        <v/>
      </c>
      <c r="C95" s="19" t="str">
        <f>IF(D95="","","T"&amp;(1000+COUNTIF($D$4:D95,"&lt;&gt;")))</f>
        <v/>
      </c>
      <c r="D95" s="19"/>
      <c r="E95" s="17" t="str">
        <f>IF(D95="","",VLOOKUP(D95,Inventory!$A$4:$I$21,2,FALSE()))</f>
        <v/>
      </c>
      <c r="F95" s="18"/>
      <c r="G95" s="31" t="str">
        <f>IF(D95="","",VLOOKUP(D95,Inventory!$A$4:$I$21,5,FALSE()))</f>
        <v/>
      </c>
      <c r="H95" s="31" t="str">
        <f>IF(OR(D95="",F95=""),"",F95*G95)</f>
        <v/>
      </c>
      <c r="I95" s="31" t="str">
        <f>IF(OR(D95="",F95=""),"",F95*VLOOKUP(D95,Inventory!$A$4:$I$21,4,FALSE()))</f>
        <v/>
      </c>
      <c r="J95" s="31" t="str">
        <f>IF(H95="","",H95-I95)</f>
        <v/>
      </c>
      <c r="K95" s="19"/>
      <c r="L95" s="17"/>
      <c r="Z95" s="15" t="str">
        <f>IF(K95="Credit",COUNTIF(K$4:K95,"Credit"),"")</f>
        <v/>
      </c>
    </row>
    <row r="96" spans="1:26" ht="15" customHeight="1" x14ac:dyDescent="0.2">
      <c r="A96" s="29" t="str">
        <f ca="1">IF(D96="","",IF(N(A96)=0,TODAY(),A96))</f>
        <v/>
      </c>
      <c r="B96" s="30" t="str">
        <f ca="1">IF(D96="","",IF(N(B96)=0,ROUND(MOD(NOW(),1)*1440,0)/1440,B96))</f>
        <v/>
      </c>
      <c r="C96" s="19" t="str">
        <f>IF(D96="","","T"&amp;(1000+COUNTIF($D$4:D96,"&lt;&gt;")))</f>
        <v/>
      </c>
      <c r="D96" s="19"/>
      <c r="E96" s="17" t="str">
        <f>IF(D96="","",VLOOKUP(D96,Inventory!$A$4:$I$21,2,FALSE()))</f>
        <v/>
      </c>
      <c r="F96" s="18"/>
      <c r="G96" s="31" t="str">
        <f>IF(D96="","",VLOOKUP(D96,Inventory!$A$4:$I$21,5,FALSE()))</f>
        <v/>
      </c>
      <c r="H96" s="31" t="str">
        <f>IF(OR(D96="",F96=""),"",F96*G96)</f>
        <v/>
      </c>
      <c r="I96" s="31" t="str">
        <f>IF(OR(D96="",F96=""),"",F96*VLOOKUP(D96,Inventory!$A$4:$I$21,4,FALSE()))</f>
        <v/>
      </c>
      <c r="J96" s="31" t="str">
        <f>IF(H96="","",H96-I96)</f>
        <v/>
      </c>
      <c r="K96" s="19"/>
      <c r="L96" s="17"/>
      <c r="Z96" s="15" t="str">
        <f>IF(K96="Credit",COUNTIF(K$4:K96,"Credit"),"")</f>
        <v/>
      </c>
    </row>
    <row r="97" spans="1:26" ht="15" customHeight="1" x14ac:dyDescent="0.2">
      <c r="A97" s="29" t="str">
        <f ca="1">IF(D97="","",IF(N(A97)=0,TODAY(),A97))</f>
        <v/>
      </c>
      <c r="B97" s="30" t="str">
        <f ca="1">IF(D97="","",IF(N(B97)=0,ROUND(MOD(NOW(),1)*1440,0)/1440,B97))</f>
        <v/>
      </c>
      <c r="C97" s="19" t="str">
        <f>IF(D97="","","T"&amp;(1000+COUNTIF($D$4:D97,"&lt;&gt;")))</f>
        <v/>
      </c>
      <c r="D97" s="19"/>
      <c r="E97" s="17" t="str">
        <f>IF(D97="","",VLOOKUP(D97,Inventory!$A$4:$I$21,2,FALSE()))</f>
        <v/>
      </c>
      <c r="F97" s="18"/>
      <c r="G97" s="31" t="str">
        <f>IF(D97="","",VLOOKUP(D97,Inventory!$A$4:$I$21,5,FALSE()))</f>
        <v/>
      </c>
      <c r="H97" s="31" t="str">
        <f>IF(OR(D97="",F97=""),"",F97*G97)</f>
        <v/>
      </c>
      <c r="I97" s="31" t="str">
        <f>IF(OR(D97="",F97=""),"",F97*VLOOKUP(D97,Inventory!$A$4:$I$21,4,FALSE()))</f>
        <v/>
      </c>
      <c r="J97" s="31" t="str">
        <f>IF(H97="","",H97-I97)</f>
        <v/>
      </c>
      <c r="K97" s="19"/>
      <c r="L97" s="17"/>
      <c r="Z97" s="15" t="str">
        <f>IF(K97="Credit",COUNTIF(K$4:K97,"Credit"),"")</f>
        <v/>
      </c>
    </row>
    <row r="98" spans="1:26" ht="15" customHeight="1" x14ac:dyDescent="0.2">
      <c r="A98" s="29" t="str">
        <f ca="1">IF(D98="","",IF(N(A98)=0,TODAY(),A98))</f>
        <v/>
      </c>
      <c r="B98" s="30" t="str">
        <f ca="1">IF(D98="","",IF(N(B98)=0,ROUND(MOD(NOW(),1)*1440,0)/1440,B98))</f>
        <v/>
      </c>
      <c r="C98" s="19" t="str">
        <f>IF(D98="","","T"&amp;(1000+COUNTIF($D$4:D98,"&lt;&gt;")))</f>
        <v/>
      </c>
      <c r="D98" s="19"/>
      <c r="E98" s="17" t="str">
        <f>IF(D98="","",VLOOKUP(D98,Inventory!$A$4:$I$21,2,FALSE()))</f>
        <v/>
      </c>
      <c r="F98" s="18"/>
      <c r="G98" s="31" t="str">
        <f>IF(D98="","",VLOOKUP(D98,Inventory!$A$4:$I$21,5,FALSE()))</f>
        <v/>
      </c>
      <c r="H98" s="31" t="str">
        <f>IF(OR(D98="",F98=""),"",F98*G98)</f>
        <v/>
      </c>
      <c r="I98" s="31" t="str">
        <f>IF(OR(D98="",F98=""),"",F98*VLOOKUP(D98,Inventory!$A$4:$I$21,4,FALSE()))</f>
        <v/>
      </c>
      <c r="J98" s="31" t="str">
        <f>IF(H98="","",H98-I98)</f>
        <v/>
      </c>
      <c r="K98" s="19"/>
      <c r="L98" s="17"/>
      <c r="Z98" s="15" t="str">
        <f>IF(K98="Credit",COUNTIF(K$4:K98,"Credit"),"")</f>
        <v/>
      </c>
    </row>
    <row r="99" spans="1:26" ht="15" customHeight="1" x14ac:dyDescent="0.2">
      <c r="A99" s="29" t="str">
        <f ca="1">IF(D99="","",IF(N(A99)=0,TODAY(),A99))</f>
        <v/>
      </c>
      <c r="B99" s="30" t="str">
        <f ca="1">IF(D99="","",IF(N(B99)=0,ROUND(MOD(NOW(),1)*1440,0)/1440,B99))</f>
        <v/>
      </c>
      <c r="C99" s="19" t="str">
        <f>IF(D99="","","T"&amp;(1000+COUNTIF($D$4:D99,"&lt;&gt;")))</f>
        <v/>
      </c>
      <c r="D99" s="19"/>
      <c r="E99" s="17" t="str">
        <f>IF(D99="","",VLOOKUP(D99,Inventory!$A$4:$I$21,2,FALSE()))</f>
        <v/>
      </c>
      <c r="F99" s="18"/>
      <c r="G99" s="31" t="str">
        <f>IF(D99="","",VLOOKUP(D99,Inventory!$A$4:$I$21,5,FALSE()))</f>
        <v/>
      </c>
      <c r="H99" s="31" t="str">
        <f>IF(OR(D99="",F99=""),"",F99*G99)</f>
        <v/>
      </c>
      <c r="I99" s="31" t="str">
        <f>IF(OR(D99="",F99=""),"",F99*VLOOKUP(D99,Inventory!$A$4:$I$21,4,FALSE()))</f>
        <v/>
      </c>
      <c r="J99" s="31" t="str">
        <f>IF(H99="","",H99-I99)</f>
        <v/>
      </c>
      <c r="K99" s="19"/>
      <c r="L99" s="17"/>
      <c r="Z99" s="15" t="str">
        <f>IF(K99="Credit",COUNTIF(K$4:K99,"Credit"),"")</f>
        <v/>
      </c>
    </row>
    <row r="100" spans="1:26" ht="15" customHeight="1" x14ac:dyDescent="0.2">
      <c r="A100" s="29" t="str">
        <f ca="1">IF(D100="","",IF(N(A100)=0,TODAY(),A100))</f>
        <v/>
      </c>
      <c r="B100" s="30" t="str">
        <f ca="1">IF(D100="","",IF(N(B100)=0,ROUND(MOD(NOW(),1)*1440,0)/1440,B100))</f>
        <v/>
      </c>
      <c r="C100" s="19" t="str">
        <f>IF(D100="","","T"&amp;(1000+COUNTIF($D$4:D100,"&lt;&gt;")))</f>
        <v/>
      </c>
      <c r="D100" s="19"/>
      <c r="E100" s="17" t="str">
        <f>IF(D100="","",VLOOKUP(D100,Inventory!$A$4:$I$21,2,FALSE()))</f>
        <v/>
      </c>
      <c r="F100" s="18"/>
      <c r="G100" s="31" t="str">
        <f>IF(D100="","",VLOOKUP(D100,Inventory!$A$4:$I$21,5,FALSE()))</f>
        <v/>
      </c>
      <c r="H100" s="31" t="str">
        <f>IF(OR(D100="",F100=""),"",F100*G100)</f>
        <v/>
      </c>
      <c r="I100" s="31" t="str">
        <f>IF(OR(D100="",F100=""),"",F100*VLOOKUP(D100,Inventory!$A$4:$I$21,4,FALSE()))</f>
        <v/>
      </c>
      <c r="J100" s="31" t="str">
        <f>IF(H100="","",H100-I100)</f>
        <v/>
      </c>
      <c r="K100" s="19"/>
      <c r="L100" s="17"/>
      <c r="Z100" s="15" t="str">
        <f>IF(K100="Credit",COUNTIF(K$4:K100,"Credit"),"")</f>
        <v/>
      </c>
    </row>
    <row r="101" spans="1:26" ht="15" customHeight="1" x14ac:dyDescent="0.2">
      <c r="A101" s="29" t="str">
        <f ca="1">IF(D101="","",IF(N(A101)=0,TODAY(),A101))</f>
        <v/>
      </c>
      <c r="B101" s="30" t="str">
        <f ca="1">IF(D101="","",IF(N(B101)=0,ROUND(MOD(NOW(),1)*1440,0)/1440,B101))</f>
        <v/>
      </c>
      <c r="C101" s="19" t="str">
        <f>IF(D101="","","T"&amp;(1000+COUNTIF($D$4:D101,"&lt;&gt;")))</f>
        <v/>
      </c>
      <c r="D101" s="19"/>
      <c r="E101" s="17" t="str">
        <f>IF(D101="","",VLOOKUP(D101,Inventory!$A$4:$I$21,2,FALSE()))</f>
        <v/>
      </c>
      <c r="F101" s="18"/>
      <c r="G101" s="31" t="str">
        <f>IF(D101="","",VLOOKUP(D101,Inventory!$A$4:$I$21,5,FALSE()))</f>
        <v/>
      </c>
      <c r="H101" s="31" t="str">
        <f>IF(OR(D101="",F101=""),"",F101*G101)</f>
        <v/>
      </c>
      <c r="I101" s="31" t="str">
        <f>IF(OR(D101="",F101=""),"",F101*VLOOKUP(D101,Inventory!$A$4:$I$21,4,FALSE()))</f>
        <v/>
      </c>
      <c r="J101" s="31" t="str">
        <f>IF(H101="","",H101-I101)</f>
        <v/>
      </c>
      <c r="K101" s="19"/>
      <c r="L101" s="17"/>
      <c r="Z101" s="15" t="str">
        <f>IF(K101="Credit",COUNTIF(K$4:K101,"Credit"),"")</f>
        <v/>
      </c>
    </row>
    <row r="102" spans="1:26" ht="15" customHeight="1" x14ac:dyDescent="0.2">
      <c r="A102" s="29" t="str">
        <f ca="1">IF(D102="","",IF(N(A102)=0,TODAY(),A102))</f>
        <v/>
      </c>
      <c r="B102" s="30" t="str">
        <f ca="1">IF(D102="","",IF(N(B102)=0,ROUND(MOD(NOW(),1)*1440,0)/1440,B102))</f>
        <v/>
      </c>
      <c r="C102" s="19" t="str">
        <f>IF(D102="","","T"&amp;(1000+COUNTIF($D$4:D102,"&lt;&gt;")))</f>
        <v/>
      </c>
      <c r="D102" s="19"/>
      <c r="E102" s="17" t="str">
        <f>IF(D102="","",VLOOKUP(D102,Inventory!$A$4:$I$21,2,FALSE()))</f>
        <v/>
      </c>
      <c r="F102" s="18"/>
      <c r="G102" s="31" t="str">
        <f>IF(D102="","",VLOOKUP(D102,Inventory!$A$4:$I$21,5,FALSE()))</f>
        <v/>
      </c>
      <c r="H102" s="31" t="str">
        <f>IF(OR(D102="",F102=""),"",F102*G102)</f>
        <v/>
      </c>
      <c r="I102" s="31" t="str">
        <f>IF(OR(D102="",F102=""),"",F102*VLOOKUP(D102,Inventory!$A$4:$I$21,4,FALSE()))</f>
        <v/>
      </c>
      <c r="J102" s="31" t="str">
        <f>IF(H102="","",H102-I102)</f>
        <v/>
      </c>
      <c r="K102" s="19"/>
      <c r="L102" s="17"/>
      <c r="Z102" s="15" t="str">
        <f>IF(K102="Credit",COUNTIF(K$4:K102,"Credit"),"")</f>
        <v/>
      </c>
    </row>
    <row r="103" spans="1:26" ht="15" customHeight="1" x14ac:dyDescent="0.2">
      <c r="A103" s="29" t="str">
        <f ca="1">IF(D103="","",IF(N(A103)=0,TODAY(),A103))</f>
        <v/>
      </c>
      <c r="B103" s="30" t="str">
        <f ca="1">IF(D103="","",IF(N(B103)=0,ROUND(MOD(NOW(),1)*1440,0)/1440,B103))</f>
        <v/>
      </c>
      <c r="C103" s="19" t="str">
        <f>IF(D103="","","T"&amp;(1000+COUNTIF($D$4:D103,"&lt;&gt;")))</f>
        <v/>
      </c>
      <c r="D103" s="19"/>
      <c r="E103" s="17" t="str">
        <f>IF(D103="","",VLOOKUP(D103,Inventory!$A$4:$I$21,2,FALSE()))</f>
        <v/>
      </c>
      <c r="F103" s="18"/>
      <c r="G103" s="31" t="str">
        <f>IF(D103="","",VLOOKUP(D103,Inventory!$A$4:$I$21,5,FALSE()))</f>
        <v/>
      </c>
      <c r="H103" s="31" t="str">
        <f>IF(OR(D103="",F103=""),"",F103*G103)</f>
        <v/>
      </c>
      <c r="I103" s="31" t="str">
        <f>IF(OR(D103="",F103=""),"",F103*VLOOKUP(D103,Inventory!$A$4:$I$21,4,FALSE()))</f>
        <v/>
      </c>
      <c r="J103" s="31" t="str">
        <f>IF(H103="","",H103-I103)</f>
        <v/>
      </c>
      <c r="K103" s="19"/>
      <c r="L103" s="17"/>
      <c r="Z103" s="15" t="str">
        <f>IF(K103="Credit",COUNTIF(K$4:K103,"Credit"),"")</f>
        <v/>
      </c>
    </row>
    <row r="104" spans="1:26" ht="15" customHeight="1" x14ac:dyDescent="0.2">
      <c r="A104" s="29" t="str">
        <f ca="1">IF(D104="","",IF(N(A104)=0,TODAY(),A104))</f>
        <v/>
      </c>
      <c r="B104" s="30" t="str">
        <f ca="1">IF(D104="","",IF(N(B104)=0,ROUND(MOD(NOW(),1)*1440,0)/1440,B104))</f>
        <v/>
      </c>
      <c r="C104" s="19" t="str">
        <f>IF(D104="","","T"&amp;(1000+COUNTIF($D$4:D104,"&lt;&gt;")))</f>
        <v/>
      </c>
      <c r="D104" s="19"/>
      <c r="E104" s="17" t="str">
        <f>IF(D104="","",VLOOKUP(D104,Inventory!$A$4:$I$21,2,FALSE()))</f>
        <v/>
      </c>
      <c r="F104" s="18"/>
      <c r="G104" s="31" t="str">
        <f>IF(D104="","",VLOOKUP(D104,Inventory!$A$4:$I$21,5,FALSE()))</f>
        <v/>
      </c>
      <c r="H104" s="31" t="str">
        <f>IF(OR(D104="",F104=""),"",F104*G104)</f>
        <v/>
      </c>
      <c r="I104" s="31" t="str">
        <f>IF(OR(D104="",F104=""),"",F104*VLOOKUP(D104,Inventory!$A$4:$I$21,4,FALSE()))</f>
        <v/>
      </c>
      <c r="J104" s="31" t="str">
        <f>IF(H104="","",H104-I104)</f>
        <v/>
      </c>
      <c r="K104" s="19"/>
      <c r="L104" s="17"/>
      <c r="Z104" s="15" t="str">
        <f>IF(K104="Credit",COUNTIF(K$4:K104,"Credit"),"")</f>
        <v/>
      </c>
    </row>
    <row r="105" spans="1:26" ht="15" customHeight="1" x14ac:dyDescent="0.2">
      <c r="A105" s="29" t="str">
        <f ca="1">IF(D105="","",IF(N(A105)=0,TODAY(),A105))</f>
        <v/>
      </c>
      <c r="B105" s="30" t="str">
        <f ca="1">IF(D105="","",IF(N(B105)=0,ROUND(MOD(NOW(),1)*1440,0)/1440,B105))</f>
        <v/>
      </c>
      <c r="C105" s="19" t="str">
        <f>IF(D105="","","T"&amp;(1000+COUNTIF($D$4:D105,"&lt;&gt;")))</f>
        <v/>
      </c>
      <c r="D105" s="19"/>
      <c r="E105" s="17" t="str">
        <f>IF(D105="","",VLOOKUP(D105,Inventory!$A$4:$I$21,2,FALSE()))</f>
        <v/>
      </c>
      <c r="F105" s="18"/>
      <c r="G105" s="31" t="str">
        <f>IF(D105="","",VLOOKUP(D105,Inventory!$A$4:$I$21,5,FALSE()))</f>
        <v/>
      </c>
      <c r="H105" s="31" t="str">
        <f>IF(OR(D105="",F105=""),"",F105*G105)</f>
        <v/>
      </c>
      <c r="I105" s="31" t="str">
        <f>IF(OR(D105="",F105=""),"",F105*VLOOKUP(D105,Inventory!$A$4:$I$21,4,FALSE()))</f>
        <v/>
      </c>
      <c r="J105" s="31" t="str">
        <f>IF(H105="","",H105-I105)</f>
        <v/>
      </c>
      <c r="K105" s="19"/>
      <c r="L105" s="17"/>
      <c r="Z105" s="15" t="str">
        <f>IF(K105="Credit",COUNTIF(K$4:K105,"Credit"),"")</f>
        <v/>
      </c>
    </row>
    <row r="106" spans="1:26" ht="15" customHeight="1" x14ac:dyDescent="0.2">
      <c r="A106" s="29" t="str">
        <f ca="1">IF(D106="","",IF(N(A106)=0,TODAY(),A106))</f>
        <v/>
      </c>
      <c r="B106" s="30" t="str">
        <f ca="1">IF(D106="","",IF(N(B106)=0,ROUND(MOD(NOW(),1)*1440,0)/1440,B106))</f>
        <v/>
      </c>
      <c r="C106" s="19" t="str">
        <f>IF(D106="","","T"&amp;(1000+COUNTIF($D$4:D106,"&lt;&gt;")))</f>
        <v/>
      </c>
      <c r="D106" s="19"/>
      <c r="E106" s="17" t="str">
        <f>IF(D106="","",VLOOKUP(D106,Inventory!$A$4:$I$21,2,FALSE()))</f>
        <v/>
      </c>
      <c r="F106" s="18"/>
      <c r="G106" s="31" t="str">
        <f>IF(D106="","",VLOOKUP(D106,Inventory!$A$4:$I$21,5,FALSE()))</f>
        <v/>
      </c>
      <c r="H106" s="31" t="str">
        <f>IF(OR(D106="",F106=""),"",F106*G106)</f>
        <v/>
      </c>
      <c r="I106" s="31" t="str">
        <f>IF(OR(D106="",F106=""),"",F106*VLOOKUP(D106,Inventory!$A$4:$I$21,4,FALSE()))</f>
        <v/>
      </c>
      <c r="J106" s="31" t="str">
        <f>IF(H106="","",H106-I106)</f>
        <v/>
      </c>
      <c r="K106" s="19"/>
      <c r="L106" s="17"/>
      <c r="Z106" s="15" t="str">
        <f>IF(K106="Credit",COUNTIF(K$4:K106,"Credit"),"")</f>
        <v/>
      </c>
    </row>
    <row r="107" spans="1:26" ht="15" customHeight="1" x14ac:dyDescent="0.2">
      <c r="A107" s="29" t="str">
        <f ca="1">IF(D107="","",IF(N(A107)=0,TODAY(),A107))</f>
        <v/>
      </c>
      <c r="B107" s="30" t="str">
        <f ca="1">IF(D107="","",IF(N(B107)=0,ROUND(MOD(NOW(),1)*1440,0)/1440,B107))</f>
        <v/>
      </c>
      <c r="C107" s="19" t="str">
        <f>IF(D107="","","T"&amp;(1000+COUNTIF($D$4:D107,"&lt;&gt;")))</f>
        <v/>
      </c>
      <c r="D107" s="19"/>
      <c r="E107" s="17" t="str">
        <f>IF(D107="","",VLOOKUP(D107,Inventory!$A$4:$I$21,2,FALSE()))</f>
        <v/>
      </c>
      <c r="F107" s="18"/>
      <c r="G107" s="31" t="str">
        <f>IF(D107="","",VLOOKUP(D107,Inventory!$A$4:$I$21,5,FALSE()))</f>
        <v/>
      </c>
      <c r="H107" s="31" t="str">
        <f>IF(OR(D107="",F107=""),"",F107*G107)</f>
        <v/>
      </c>
      <c r="I107" s="31" t="str">
        <f>IF(OR(D107="",F107=""),"",F107*VLOOKUP(D107,Inventory!$A$4:$I$21,4,FALSE()))</f>
        <v/>
      </c>
      <c r="J107" s="31" t="str">
        <f>IF(H107="","",H107-I107)</f>
        <v/>
      </c>
      <c r="K107" s="19"/>
      <c r="L107" s="17"/>
      <c r="Z107" s="15" t="str">
        <f>IF(K107="Credit",COUNTIF(K$4:K107,"Credit"),"")</f>
        <v/>
      </c>
    </row>
    <row r="108" spans="1:26" ht="15" customHeight="1" x14ac:dyDescent="0.2">
      <c r="A108" s="29" t="str">
        <f ca="1">IF(D108="","",IF(N(A108)=0,TODAY(),A108))</f>
        <v/>
      </c>
      <c r="B108" s="30" t="str">
        <f ca="1">IF(D108="","",IF(N(B108)=0,ROUND(MOD(NOW(),1)*1440,0)/1440,B108))</f>
        <v/>
      </c>
      <c r="C108" s="19" t="str">
        <f>IF(D108="","","T"&amp;(1000+COUNTIF($D$4:D108,"&lt;&gt;")))</f>
        <v/>
      </c>
      <c r="D108" s="19"/>
      <c r="E108" s="17" t="str">
        <f>IF(D108="","",VLOOKUP(D108,Inventory!$A$4:$I$21,2,FALSE()))</f>
        <v/>
      </c>
      <c r="F108" s="18"/>
      <c r="G108" s="31" t="str">
        <f>IF(D108="","",VLOOKUP(D108,Inventory!$A$4:$I$21,5,FALSE()))</f>
        <v/>
      </c>
      <c r="H108" s="31" t="str">
        <f>IF(OR(D108="",F108=""),"",F108*G108)</f>
        <v/>
      </c>
      <c r="I108" s="31" t="str">
        <f>IF(OR(D108="",F108=""),"",F108*VLOOKUP(D108,Inventory!$A$4:$I$21,4,FALSE()))</f>
        <v/>
      </c>
      <c r="J108" s="31" t="str">
        <f>IF(H108="","",H108-I108)</f>
        <v/>
      </c>
      <c r="K108" s="19"/>
      <c r="L108" s="17"/>
      <c r="Z108" s="15" t="str">
        <f>IF(K108="Credit",COUNTIF(K$4:K108,"Credit"),"")</f>
        <v/>
      </c>
    </row>
    <row r="109" spans="1:26" ht="15" customHeight="1" x14ac:dyDescent="0.2">
      <c r="A109" s="29" t="str">
        <f ca="1">IF(D109="","",IF(N(A109)=0,TODAY(),A109))</f>
        <v/>
      </c>
      <c r="B109" s="30" t="str">
        <f ca="1">IF(D109="","",IF(N(B109)=0,ROUND(MOD(NOW(),1)*1440,0)/1440,B109))</f>
        <v/>
      </c>
      <c r="C109" s="19" t="str">
        <f>IF(D109="","","T"&amp;(1000+COUNTIF($D$4:D109,"&lt;&gt;")))</f>
        <v/>
      </c>
      <c r="D109" s="19"/>
      <c r="E109" s="17" t="str">
        <f>IF(D109="","",VLOOKUP(D109,Inventory!$A$4:$I$21,2,FALSE()))</f>
        <v/>
      </c>
      <c r="F109" s="18"/>
      <c r="G109" s="31" t="str">
        <f>IF(D109="","",VLOOKUP(D109,Inventory!$A$4:$I$21,5,FALSE()))</f>
        <v/>
      </c>
      <c r="H109" s="31" t="str">
        <f>IF(OR(D109="",F109=""),"",F109*G109)</f>
        <v/>
      </c>
      <c r="I109" s="31" t="str">
        <f>IF(OR(D109="",F109=""),"",F109*VLOOKUP(D109,Inventory!$A$4:$I$21,4,FALSE()))</f>
        <v/>
      </c>
      <c r="J109" s="31" t="str">
        <f>IF(H109="","",H109-I109)</f>
        <v/>
      </c>
      <c r="K109" s="19"/>
      <c r="L109" s="17"/>
      <c r="Z109" s="15" t="str">
        <f>IF(K109="Credit",COUNTIF(K$4:K109,"Credit"),"")</f>
        <v/>
      </c>
    </row>
    <row r="110" spans="1:26" ht="15" customHeight="1" x14ac:dyDescent="0.2">
      <c r="A110" s="29" t="str">
        <f ca="1">IF(D110="","",IF(N(A110)=0,TODAY(),A110))</f>
        <v/>
      </c>
      <c r="B110" s="30" t="str">
        <f ca="1">IF(D110="","",IF(N(B110)=0,ROUND(MOD(NOW(),1)*1440,0)/1440,B110))</f>
        <v/>
      </c>
      <c r="C110" s="19" t="str">
        <f>IF(D110="","","T"&amp;(1000+COUNTIF($D$4:D110,"&lt;&gt;")))</f>
        <v/>
      </c>
      <c r="D110" s="19"/>
      <c r="E110" s="17" t="str">
        <f>IF(D110="","",VLOOKUP(D110,Inventory!$A$4:$I$21,2,FALSE()))</f>
        <v/>
      </c>
      <c r="F110" s="18"/>
      <c r="G110" s="31" t="str">
        <f>IF(D110="","",VLOOKUP(D110,Inventory!$A$4:$I$21,5,FALSE()))</f>
        <v/>
      </c>
      <c r="H110" s="31" t="str">
        <f>IF(OR(D110="",F110=""),"",F110*G110)</f>
        <v/>
      </c>
      <c r="I110" s="31" t="str">
        <f>IF(OR(D110="",F110=""),"",F110*VLOOKUP(D110,Inventory!$A$4:$I$21,4,FALSE()))</f>
        <v/>
      </c>
      <c r="J110" s="31" t="str">
        <f>IF(H110="","",H110-I110)</f>
        <v/>
      </c>
      <c r="K110" s="19"/>
      <c r="L110" s="17"/>
      <c r="Z110" s="15" t="str">
        <f>IF(K110="Credit",COUNTIF(K$4:K110,"Credit"),"")</f>
        <v/>
      </c>
    </row>
    <row r="111" spans="1:26" ht="15" customHeight="1" x14ac:dyDescent="0.2">
      <c r="A111" s="29" t="str">
        <f ca="1">IF(D111="","",IF(N(A111)=0,TODAY(),A111))</f>
        <v/>
      </c>
      <c r="B111" s="30" t="str">
        <f ca="1">IF(D111="","",IF(N(B111)=0,ROUND(MOD(NOW(),1)*1440,0)/1440,B111))</f>
        <v/>
      </c>
      <c r="C111" s="19" t="str">
        <f>IF(D111="","","T"&amp;(1000+COUNTIF($D$4:D111,"&lt;&gt;")))</f>
        <v/>
      </c>
      <c r="D111" s="19"/>
      <c r="E111" s="17" t="str">
        <f>IF(D111="","",VLOOKUP(D111,Inventory!$A$4:$I$21,2,FALSE()))</f>
        <v/>
      </c>
      <c r="F111" s="18"/>
      <c r="G111" s="31" t="str">
        <f>IF(D111="","",VLOOKUP(D111,Inventory!$A$4:$I$21,5,FALSE()))</f>
        <v/>
      </c>
      <c r="H111" s="31" t="str">
        <f>IF(OR(D111="",F111=""),"",F111*G111)</f>
        <v/>
      </c>
      <c r="I111" s="31" t="str">
        <f>IF(OR(D111="",F111=""),"",F111*VLOOKUP(D111,Inventory!$A$4:$I$21,4,FALSE()))</f>
        <v/>
      </c>
      <c r="J111" s="31" t="str">
        <f>IF(H111="","",H111-I111)</f>
        <v/>
      </c>
      <c r="K111" s="19"/>
      <c r="L111" s="17"/>
      <c r="Z111" s="15" t="str">
        <f>IF(K111="Credit",COUNTIF(K$4:K111,"Credit"),"")</f>
        <v/>
      </c>
    </row>
    <row r="112" spans="1:26" ht="15" customHeight="1" x14ac:dyDescent="0.2">
      <c r="A112" s="29" t="str">
        <f ca="1">IF(D112="","",IF(N(A112)=0,TODAY(),A112))</f>
        <v/>
      </c>
      <c r="B112" s="30" t="str">
        <f ca="1">IF(D112="","",IF(N(B112)=0,ROUND(MOD(NOW(),1)*1440,0)/1440,B112))</f>
        <v/>
      </c>
      <c r="C112" s="19" t="str">
        <f>IF(D112="","","T"&amp;(1000+COUNTIF($D$4:D112,"&lt;&gt;")))</f>
        <v/>
      </c>
      <c r="D112" s="19"/>
      <c r="E112" s="17" t="str">
        <f>IF(D112="","",VLOOKUP(D112,Inventory!$A$4:$I$21,2,FALSE()))</f>
        <v/>
      </c>
      <c r="F112" s="18"/>
      <c r="G112" s="31" t="str">
        <f>IF(D112="","",VLOOKUP(D112,Inventory!$A$4:$I$21,5,FALSE()))</f>
        <v/>
      </c>
      <c r="H112" s="31" t="str">
        <f>IF(OR(D112="",F112=""),"",F112*G112)</f>
        <v/>
      </c>
      <c r="I112" s="31" t="str">
        <f>IF(OR(D112="",F112=""),"",F112*VLOOKUP(D112,Inventory!$A$4:$I$21,4,FALSE()))</f>
        <v/>
      </c>
      <c r="J112" s="31" t="str">
        <f>IF(H112="","",H112-I112)</f>
        <v/>
      </c>
      <c r="K112" s="19"/>
      <c r="L112" s="17"/>
      <c r="Z112" s="15" t="str">
        <f>IF(K112="Credit",COUNTIF(K$4:K112,"Credit"),"")</f>
        <v/>
      </c>
    </row>
    <row r="113" spans="1:26" ht="15" customHeight="1" x14ac:dyDescent="0.2">
      <c r="A113" s="29" t="str">
        <f ca="1">IF(D113="","",IF(N(A113)=0,TODAY(),A113))</f>
        <v/>
      </c>
      <c r="B113" s="30" t="str">
        <f ca="1">IF(D113="","",IF(N(B113)=0,ROUND(MOD(NOW(),1)*1440,0)/1440,B113))</f>
        <v/>
      </c>
      <c r="C113" s="19" t="str">
        <f>IF(D113="","","T"&amp;(1000+COUNTIF($D$4:D113,"&lt;&gt;")))</f>
        <v/>
      </c>
      <c r="D113" s="19"/>
      <c r="E113" s="17" t="str">
        <f>IF(D113="","",VLOOKUP(D113,Inventory!$A$4:$I$21,2,FALSE()))</f>
        <v/>
      </c>
      <c r="F113" s="18"/>
      <c r="G113" s="31" t="str">
        <f>IF(D113="","",VLOOKUP(D113,Inventory!$A$4:$I$21,5,FALSE()))</f>
        <v/>
      </c>
      <c r="H113" s="31" t="str">
        <f>IF(OR(D113="",F113=""),"",F113*G113)</f>
        <v/>
      </c>
      <c r="I113" s="31" t="str">
        <f>IF(OR(D113="",F113=""),"",F113*VLOOKUP(D113,Inventory!$A$4:$I$21,4,FALSE()))</f>
        <v/>
      </c>
      <c r="J113" s="31" t="str">
        <f>IF(H113="","",H113-I113)</f>
        <v/>
      </c>
      <c r="K113" s="19"/>
      <c r="L113" s="17"/>
      <c r="Z113" s="15" t="str">
        <f>IF(K113="Credit",COUNTIF(K$4:K113,"Credit"),"")</f>
        <v/>
      </c>
    </row>
    <row r="114" spans="1:26" ht="15" customHeight="1" x14ac:dyDescent="0.2">
      <c r="A114" s="29" t="str">
        <f ca="1">IF(D114="","",IF(N(A114)=0,TODAY(),A114))</f>
        <v/>
      </c>
      <c r="B114" s="30" t="str">
        <f ca="1">IF(D114="","",IF(N(B114)=0,ROUND(MOD(NOW(),1)*1440,0)/1440,B114))</f>
        <v/>
      </c>
      <c r="C114" s="19" t="str">
        <f>IF(D114="","","T"&amp;(1000+COUNTIF($D$4:D114,"&lt;&gt;")))</f>
        <v/>
      </c>
      <c r="D114" s="19"/>
      <c r="E114" s="17" t="str">
        <f>IF(D114="","",VLOOKUP(D114,Inventory!$A$4:$I$21,2,FALSE()))</f>
        <v/>
      </c>
      <c r="F114" s="18"/>
      <c r="G114" s="31" t="str">
        <f>IF(D114="","",VLOOKUP(D114,Inventory!$A$4:$I$21,5,FALSE()))</f>
        <v/>
      </c>
      <c r="H114" s="31" t="str">
        <f>IF(OR(D114="",F114=""),"",F114*G114)</f>
        <v/>
      </c>
      <c r="I114" s="31" t="str">
        <f>IF(OR(D114="",F114=""),"",F114*VLOOKUP(D114,Inventory!$A$4:$I$21,4,FALSE()))</f>
        <v/>
      </c>
      <c r="J114" s="31" t="str">
        <f>IF(H114="","",H114-I114)</f>
        <v/>
      </c>
      <c r="K114" s="19"/>
      <c r="L114" s="17"/>
      <c r="Z114" s="15" t="str">
        <f>IF(K114="Credit",COUNTIF(K$4:K114,"Credit"),"")</f>
        <v/>
      </c>
    </row>
    <row r="115" spans="1:26" ht="15" customHeight="1" x14ac:dyDescent="0.2">
      <c r="A115" s="29" t="str">
        <f ca="1">IF(D115="","",IF(N(A115)=0,TODAY(),A115))</f>
        <v/>
      </c>
      <c r="B115" s="30" t="str">
        <f ca="1">IF(D115="","",IF(N(B115)=0,ROUND(MOD(NOW(),1)*1440,0)/1440,B115))</f>
        <v/>
      </c>
      <c r="C115" s="19" t="str">
        <f>IF(D115="","","T"&amp;(1000+COUNTIF($D$4:D115,"&lt;&gt;")))</f>
        <v/>
      </c>
      <c r="D115" s="19"/>
      <c r="E115" s="17" t="str">
        <f>IF(D115="","",VLOOKUP(D115,Inventory!$A$4:$I$21,2,FALSE()))</f>
        <v/>
      </c>
      <c r="F115" s="18"/>
      <c r="G115" s="31" t="str">
        <f>IF(D115="","",VLOOKUP(D115,Inventory!$A$4:$I$21,5,FALSE()))</f>
        <v/>
      </c>
      <c r="H115" s="31" t="str">
        <f>IF(OR(D115="",F115=""),"",F115*G115)</f>
        <v/>
      </c>
      <c r="I115" s="31" t="str">
        <f>IF(OR(D115="",F115=""),"",F115*VLOOKUP(D115,Inventory!$A$4:$I$21,4,FALSE()))</f>
        <v/>
      </c>
      <c r="J115" s="31" t="str">
        <f>IF(H115="","",H115-I115)</f>
        <v/>
      </c>
      <c r="K115" s="19"/>
      <c r="L115" s="17"/>
      <c r="Z115" s="15" t="str">
        <f>IF(K115="Credit",COUNTIF(K$4:K115,"Credit"),"")</f>
        <v/>
      </c>
    </row>
    <row r="116" spans="1:26" ht="15" customHeight="1" x14ac:dyDescent="0.2">
      <c r="A116" s="29" t="str">
        <f ca="1">IF(D116="","",IF(N(A116)=0,TODAY(),A116))</f>
        <v/>
      </c>
      <c r="B116" s="30" t="str">
        <f ca="1">IF(D116="","",IF(N(B116)=0,ROUND(MOD(NOW(),1)*1440,0)/1440,B116))</f>
        <v/>
      </c>
      <c r="C116" s="19" t="str">
        <f>IF(D116="","","T"&amp;(1000+COUNTIF($D$4:D116,"&lt;&gt;")))</f>
        <v/>
      </c>
      <c r="D116" s="19"/>
      <c r="E116" s="17" t="str">
        <f>IF(D116="","",VLOOKUP(D116,Inventory!$A$4:$I$21,2,FALSE()))</f>
        <v/>
      </c>
      <c r="F116" s="18"/>
      <c r="G116" s="31" t="str">
        <f>IF(D116="","",VLOOKUP(D116,Inventory!$A$4:$I$21,5,FALSE()))</f>
        <v/>
      </c>
      <c r="H116" s="31" t="str">
        <f>IF(OR(D116="",F116=""),"",F116*G116)</f>
        <v/>
      </c>
      <c r="I116" s="31" t="str">
        <f>IF(OR(D116="",F116=""),"",F116*VLOOKUP(D116,Inventory!$A$4:$I$21,4,FALSE()))</f>
        <v/>
      </c>
      <c r="J116" s="31" t="str">
        <f>IF(H116="","",H116-I116)</f>
        <v/>
      </c>
      <c r="K116" s="19"/>
      <c r="L116" s="17"/>
      <c r="Z116" s="15" t="str">
        <f>IF(K116="Credit",COUNTIF(K$4:K116,"Credit"),"")</f>
        <v/>
      </c>
    </row>
    <row r="117" spans="1:26" ht="15" customHeight="1" x14ac:dyDescent="0.2">
      <c r="A117" s="29" t="str">
        <f ca="1">IF(D117="","",IF(N(A117)=0,TODAY(),A117))</f>
        <v/>
      </c>
      <c r="B117" s="30" t="str">
        <f ca="1">IF(D117="","",IF(N(B117)=0,ROUND(MOD(NOW(),1)*1440,0)/1440,B117))</f>
        <v/>
      </c>
      <c r="C117" s="19" t="str">
        <f>IF(D117="","","T"&amp;(1000+COUNTIF($D$4:D117,"&lt;&gt;")))</f>
        <v/>
      </c>
      <c r="D117" s="19"/>
      <c r="E117" s="17" t="str">
        <f>IF(D117="","",VLOOKUP(D117,Inventory!$A$4:$I$21,2,FALSE()))</f>
        <v/>
      </c>
      <c r="F117" s="18"/>
      <c r="G117" s="31" t="str">
        <f>IF(D117="","",VLOOKUP(D117,Inventory!$A$4:$I$21,5,FALSE()))</f>
        <v/>
      </c>
      <c r="H117" s="31" t="str">
        <f>IF(OR(D117="",F117=""),"",F117*G117)</f>
        <v/>
      </c>
      <c r="I117" s="31" t="str">
        <f>IF(OR(D117="",F117=""),"",F117*VLOOKUP(D117,Inventory!$A$4:$I$21,4,FALSE()))</f>
        <v/>
      </c>
      <c r="J117" s="31" t="str">
        <f>IF(H117="","",H117-I117)</f>
        <v/>
      </c>
      <c r="K117" s="19"/>
      <c r="L117" s="17"/>
      <c r="Z117" s="15" t="str">
        <f>IF(K117="Credit",COUNTIF(K$4:K117,"Credit"),"")</f>
        <v/>
      </c>
    </row>
    <row r="118" spans="1:26" ht="15" customHeight="1" x14ac:dyDescent="0.2">
      <c r="A118" s="29" t="str">
        <f ca="1">IF(D118="","",IF(N(A118)=0,TODAY(),A118))</f>
        <v/>
      </c>
      <c r="B118" s="30" t="str">
        <f ca="1">IF(D118="","",IF(N(B118)=0,ROUND(MOD(NOW(),1)*1440,0)/1440,B118))</f>
        <v/>
      </c>
      <c r="C118" s="19" t="str">
        <f>IF(D118="","","T"&amp;(1000+COUNTIF($D$4:D118,"&lt;&gt;")))</f>
        <v/>
      </c>
      <c r="D118" s="19"/>
      <c r="E118" s="17" t="str">
        <f>IF(D118="","",VLOOKUP(D118,Inventory!$A$4:$I$21,2,FALSE()))</f>
        <v/>
      </c>
      <c r="F118" s="18"/>
      <c r="G118" s="31" t="str">
        <f>IF(D118="","",VLOOKUP(D118,Inventory!$A$4:$I$21,5,FALSE()))</f>
        <v/>
      </c>
      <c r="H118" s="31" t="str">
        <f>IF(OR(D118="",F118=""),"",F118*G118)</f>
        <v/>
      </c>
      <c r="I118" s="31" t="str">
        <f>IF(OR(D118="",F118=""),"",F118*VLOOKUP(D118,Inventory!$A$4:$I$21,4,FALSE()))</f>
        <v/>
      </c>
      <c r="J118" s="31" t="str">
        <f>IF(H118="","",H118-I118)</f>
        <v/>
      </c>
      <c r="K118" s="19"/>
      <c r="L118" s="17"/>
      <c r="Z118" s="15" t="str">
        <f>IF(K118="Credit",COUNTIF(K$4:K118,"Credit"),"")</f>
        <v/>
      </c>
    </row>
    <row r="119" spans="1:26" ht="15" customHeight="1" x14ac:dyDescent="0.2">
      <c r="A119" s="29" t="str">
        <f ca="1">IF(D119="","",IF(N(A119)=0,TODAY(),A119))</f>
        <v/>
      </c>
      <c r="B119" s="30" t="str">
        <f ca="1">IF(D119="","",IF(N(B119)=0,ROUND(MOD(NOW(),1)*1440,0)/1440,B119))</f>
        <v/>
      </c>
      <c r="C119" s="19" t="str">
        <f>IF(D119="","","T"&amp;(1000+COUNTIF($D$4:D119,"&lt;&gt;")))</f>
        <v/>
      </c>
      <c r="D119" s="19"/>
      <c r="E119" s="17" t="str">
        <f>IF(D119="","",VLOOKUP(D119,Inventory!$A$4:$I$21,2,FALSE()))</f>
        <v/>
      </c>
      <c r="F119" s="18"/>
      <c r="G119" s="31" t="str">
        <f>IF(D119="","",VLOOKUP(D119,Inventory!$A$4:$I$21,5,FALSE()))</f>
        <v/>
      </c>
      <c r="H119" s="31" t="str">
        <f>IF(OR(D119="",F119=""),"",F119*G119)</f>
        <v/>
      </c>
      <c r="I119" s="31" t="str">
        <f>IF(OR(D119="",F119=""),"",F119*VLOOKUP(D119,Inventory!$A$4:$I$21,4,FALSE()))</f>
        <v/>
      </c>
      <c r="J119" s="31" t="str">
        <f>IF(H119="","",H119-I119)</f>
        <v/>
      </c>
      <c r="K119" s="19"/>
      <c r="L119" s="17"/>
      <c r="Z119" s="15" t="str">
        <f>IF(K119="Credit",COUNTIF(K$4:K119,"Credit"),"")</f>
        <v/>
      </c>
    </row>
    <row r="120" spans="1:26" ht="15" customHeight="1" x14ac:dyDescent="0.2">
      <c r="A120" s="29" t="str">
        <f ca="1">IF(D120="","",IF(N(A120)=0,TODAY(),A120))</f>
        <v/>
      </c>
      <c r="B120" s="30" t="str">
        <f ca="1">IF(D120="","",IF(N(B120)=0,ROUND(MOD(NOW(),1)*1440,0)/1440,B120))</f>
        <v/>
      </c>
      <c r="C120" s="19" t="str">
        <f>IF(D120="","","T"&amp;(1000+COUNTIF($D$4:D120,"&lt;&gt;")))</f>
        <v/>
      </c>
      <c r="D120" s="19"/>
      <c r="E120" s="17" t="str">
        <f>IF(D120="","",VLOOKUP(D120,Inventory!$A$4:$I$21,2,FALSE()))</f>
        <v/>
      </c>
      <c r="F120" s="18"/>
      <c r="G120" s="31" t="str">
        <f>IF(D120="","",VLOOKUP(D120,Inventory!$A$4:$I$21,5,FALSE()))</f>
        <v/>
      </c>
      <c r="H120" s="31" t="str">
        <f>IF(OR(D120="",F120=""),"",F120*G120)</f>
        <v/>
      </c>
      <c r="I120" s="31" t="str">
        <f>IF(OR(D120="",F120=""),"",F120*VLOOKUP(D120,Inventory!$A$4:$I$21,4,FALSE()))</f>
        <v/>
      </c>
      <c r="J120" s="31" t="str">
        <f>IF(H120="","",H120-I120)</f>
        <v/>
      </c>
      <c r="K120" s="19"/>
      <c r="L120" s="17"/>
      <c r="Z120" s="15" t="str">
        <f>IF(K120="Credit",COUNTIF(K$4:K120,"Credit"),"")</f>
        <v/>
      </c>
    </row>
  </sheetData>
  <mergeCells count="2">
    <mergeCell ref="A1:L1"/>
    <mergeCell ref="A2:L2"/>
  </mergeCells>
  <conditionalFormatting sqref="A35:D120">
    <cfRule type="expression" dxfId="10" priority="2">
      <formula>$K35="Credit"</formula>
    </cfRule>
  </conditionalFormatting>
  <conditionalFormatting sqref="E4:E120">
    <cfRule type="expression" dxfId="9" priority="3">
      <formula>$K4="Credit"</formula>
    </cfRule>
  </conditionalFormatting>
  <conditionalFormatting sqref="F35:F120">
    <cfRule type="expression" dxfId="8" priority="4">
      <formula>$K35="Credit"</formula>
    </cfRule>
  </conditionalFormatting>
  <conditionalFormatting sqref="G4:K120">
    <cfRule type="expression" dxfId="7" priority="5">
      <formula>$K4="Credit"</formula>
    </cfRule>
  </conditionalFormatting>
  <conditionalFormatting sqref="L34:L120">
    <cfRule type="expression" dxfId="6" priority="6">
      <formula>$K34="Credit"</formula>
    </cfRule>
  </conditionalFormatting>
  <dataValidations count="3">
    <dataValidation type="list" allowBlank="1" showInputMessage="1" showErrorMessage="1" errorTitle="Invalid Product" error="Pick a valid Product ID from the list" sqref="D4:D120" xr:uid="{00000000-0002-0000-0100-000000000000}">
      <formula1>"P001,P002,P003,P004,P005,P006,P007,P008,P009,P010,P011,P012,P013,P014,P015,P016,P017,P018"</formula1>
      <formula2>0</formula2>
    </dataValidation>
    <dataValidation type="whole" operator="greaterThan" allowBlank="1" showInputMessage="1" showErrorMessage="1" sqref="F4:F120" xr:uid="{00000000-0002-0000-0100-000001000000}">
      <formula1>0</formula1>
      <formula2>0</formula2>
    </dataValidation>
    <dataValidation type="list" allowBlank="1" showInputMessage="1" showErrorMessage="1" sqref="K4:K120" xr:uid="{00000000-0002-0000-0100-000002000000}">
      <formula1>"Cash,Credit"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topLeftCell="B1" zoomScale="50" zoomScaleNormal="50" workbookViewId="0">
      <selection activeCell="F28" sqref="F28"/>
    </sheetView>
  </sheetViews>
  <sheetFormatPr defaultColWidth="8.609375" defaultRowHeight="15" x14ac:dyDescent="0.2"/>
  <cols>
    <col min="1" max="1" width="11.02734375" style="15" customWidth="1"/>
    <col min="2" max="2" width="29.99609375" style="15" customWidth="1"/>
    <col min="3" max="3" width="13.046875" style="15" customWidth="1"/>
    <col min="4" max="4" width="13.98828125" style="15" customWidth="1"/>
    <col min="5" max="5" width="16.0078125" style="15" customWidth="1"/>
    <col min="6" max="6" width="13.046875" style="15" customWidth="1"/>
    <col min="7" max="7" width="13.98828125" style="15" customWidth="1"/>
    <col min="8" max="8" width="11.97265625" style="15" customWidth="1"/>
    <col min="9" max="9" width="16.0078125" style="15" customWidth="1"/>
    <col min="10" max="10" width="8.609375" style="24"/>
    <col min="11" max="11" width="13.046875" style="24" hidden="1" customWidth="1"/>
  </cols>
  <sheetData>
    <row r="1" spans="1:11" ht="33.75" customHeight="1" x14ac:dyDescent="0.2">
      <c r="A1" s="52" t="s">
        <v>33</v>
      </c>
      <c r="B1" s="52"/>
      <c r="C1" s="52"/>
      <c r="D1" s="52"/>
      <c r="E1" s="52"/>
      <c r="F1" s="52"/>
      <c r="G1" s="52"/>
      <c r="H1" s="52"/>
      <c r="I1" s="52"/>
    </row>
    <row r="2" spans="1:11" ht="19.5" customHeight="1" x14ac:dyDescent="0.2">
      <c r="A2" s="53"/>
      <c r="B2" s="53"/>
      <c r="C2" s="53"/>
      <c r="D2" s="53"/>
      <c r="E2" s="53"/>
      <c r="F2" s="53"/>
      <c r="G2" s="53"/>
      <c r="H2" s="53"/>
      <c r="I2" s="53"/>
    </row>
    <row r="3" spans="1:11" ht="27.75" customHeight="1" x14ac:dyDescent="0.2">
      <c r="A3" s="25" t="s">
        <v>19</v>
      </c>
      <c r="B3" s="25" t="s">
        <v>9</v>
      </c>
      <c r="C3" s="25" t="s">
        <v>34</v>
      </c>
      <c r="D3" s="25" t="s">
        <v>35</v>
      </c>
      <c r="E3" s="25" t="s">
        <v>36</v>
      </c>
      <c r="F3" s="25" t="s">
        <v>10</v>
      </c>
      <c r="G3" s="25" t="s">
        <v>11</v>
      </c>
      <c r="H3" s="25" t="s">
        <v>12</v>
      </c>
      <c r="I3" s="25" t="s">
        <v>37</v>
      </c>
      <c r="K3" s="25" t="s">
        <v>38</v>
      </c>
    </row>
    <row r="4" spans="1:11" ht="15" customHeight="1" x14ac:dyDescent="0.2">
      <c r="A4" s="19" t="s">
        <v>27</v>
      </c>
      <c r="B4" s="17" t="s">
        <v>39</v>
      </c>
      <c r="C4" s="19" t="s">
        <v>40</v>
      </c>
      <c r="D4" s="31">
        <v>18</v>
      </c>
      <c r="E4" s="31">
        <v>25</v>
      </c>
      <c r="F4" s="18">
        <f>K4+SUMIFS(Purchases!$E$4:$E$50,Purchases!$C$4:$C$50,$A4)-SUMIFS('Sales Log'!$F$4:$F$120,'Sales Log'!$D$4:$D$120,$A4)</f>
        <v>46</v>
      </c>
      <c r="G4" s="18">
        <v>15</v>
      </c>
      <c r="H4" s="19" t="str">
        <f>IF(F4&lt;=G4,"REORDER","OK")</f>
        <v>OK</v>
      </c>
      <c r="I4" s="31">
        <f>D4*F4</f>
        <v>828</v>
      </c>
      <c r="K4" s="18">
        <v>3</v>
      </c>
    </row>
    <row r="5" spans="1:11" ht="15" customHeight="1" x14ac:dyDescent="0.2">
      <c r="A5" s="22" t="s">
        <v>29</v>
      </c>
      <c r="B5" s="20" t="s">
        <v>41</v>
      </c>
      <c r="C5" s="22" t="s">
        <v>40</v>
      </c>
      <c r="D5" s="28">
        <v>18</v>
      </c>
      <c r="E5" s="28">
        <v>25</v>
      </c>
      <c r="F5" s="21">
        <f>K5+SUMIFS(Purchases!$E$4:$E$50,Purchases!$C$4:$C$50,$A5)-SUMIFS('Sales Log'!$F$4:$F$120,'Sales Log'!$D$4:$D$120,$A5)</f>
        <v>30</v>
      </c>
      <c r="G5" s="21">
        <v>15</v>
      </c>
      <c r="H5" s="22" t="str">
        <f>IF(F5&lt;=G5,"REORDER","OK")</f>
        <v>OK</v>
      </c>
      <c r="I5" s="28">
        <f>D5*F5</f>
        <v>540</v>
      </c>
      <c r="K5" s="21">
        <v>0</v>
      </c>
    </row>
    <row r="6" spans="1:11" ht="15" customHeight="1" x14ac:dyDescent="0.2">
      <c r="A6" s="19" t="s">
        <v>42</v>
      </c>
      <c r="B6" s="17" t="s">
        <v>43</v>
      </c>
      <c r="C6" s="19" t="s">
        <v>40</v>
      </c>
      <c r="D6" s="31">
        <v>18</v>
      </c>
      <c r="E6" s="31">
        <v>25</v>
      </c>
      <c r="F6" s="18">
        <f>K6+SUMIFS(Purchases!$E$4:$E$50,Purchases!$C$4:$C$50,$A6)-SUMIFS('Sales Log'!$F$4:$F$120,'Sales Log'!$D$4:$D$120,$A6)</f>
        <v>12</v>
      </c>
      <c r="G6" s="18">
        <v>15</v>
      </c>
      <c r="H6" s="19" t="str">
        <f>IF(F6&lt;=G6,"REORDER","OK")</f>
        <v>REORDER</v>
      </c>
      <c r="I6" s="31">
        <f>D6*F6</f>
        <v>216</v>
      </c>
      <c r="K6" s="18">
        <v>12</v>
      </c>
    </row>
    <row r="7" spans="1:11" ht="15" customHeight="1" x14ac:dyDescent="0.2">
      <c r="A7" s="22" t="s">
        <v>44</v>
      </c>
      <c r="B7" s="20" t="s">
        <v>45</v>
      </c>
      <c r="C7" s="22" t="s">
        <v>46</v>
      </c>
      <c r="D7" s="28">
        <v>8.5</v>
      </c>
      <c r="E7" s="28">
        <v>12</v>
      </c>
      <c r="F7" s="21">
        <f>K7+SUMIFS(Purchases!$E$4:$E$50,Purchases!$C$4:$C$50,$A7)-SUMIFS('Sales Log'!$F$4:$F$120,'Sales Log'!$D$4:$D$120,$A7)</f>
        <v>120</v>
      </c>
      <c r="G7" s="21">
        <v>30</v>
      </c>
      <c r="H7" s="22" t="str">
        <f>IF(F7&lt;=G7,"REORDER","OK")</f>
        <v>OK</v>
      </c>
      <c r="I7" s="28">
        <f>D7*F7</f>
        <v>1020</v>
      </c>
      <c r="K7" s="21">
        <v>20</v>
      </c>
    </row>
    <row r="8" spans="1:11" ht="15" customHeight="1" x14ac:dyDescent="0.2">
      <c r="A8" s="19" t="s">
        <v>30</v>
      </c>
      <c r="B8" s="17" t="s">
        <v>47</v>
      </c>
      <c r="C8" s="19" t="s">
        <v>46</v>
      </c>
      <c r="D8" s="31">
        <v>9</v>
      </c>
      <c r="E8" s="31">
        <v>13</v>
      </c>
      <c r="F8" s="18">
        <f>K8+SUMIFS(Purchases!$E$4:$E$50,Purchases!$C$4:$C$50,$A8)-SUMIFS('Sales Log'!$F$4:$F$120,'Sales Log'!$D$4:$D$120,$A8)</f>
        <v>78</v>
      </c>
      <c r="G8" s="18">
        <v>30</v>
      </c>
      <c r="H8" s="19" t="str">
        <f>IF(F8&lt;=G8,"REORDER","OK")</f>
        <v>OK</v>
      </c>
      <c r="I8" s="31">
        <f>D8*F8</f>
        <v>702</v>
      </c>
      <c r="K8" s="18">
        <v>0</v>
      </c>
    </row>
    <row r="9" spans="1:11" ht="15" customHeight="1" x14ac:dyDescent="0.2">
      <c r="A9" s="22" t="s">
        <v>48</v>
      </c>
      <c r="B9" s="20" t="s">
        <v>49</v>
      </c>
      <c r="C9" s="22" t="s">
        <v>50</v>
      </c>
      <c r="D9" s="28">
        <v>7.5</v>
      </c>
      <c r="E9" s="28">
        <v>11</v>
      </c>
      <c r="F9" s="21">
        <f>K9+SUMIFS(Purchases!$E$4:$E$50,Purchases!$C$4:$C$50,$A9)-SUMIFS('Sales Log'!$F$4:$F$120,'Sales Log'!$D$4:$D$120,$A9)</f>
        <v>10</v>
      </c>
      <c r="G9" s="21">
        <v>20</v>
      </c>
      <c r="H9" s="22" t="str">
        <f>IF(F9&lt;=G9,"REORDER","OK")</f>
        <v>REORDER</v>
      </c>
      <c r="I9" s="28">
        <f>D9*F9</f>
        <v>75</v>
      </c>
      <c r="K9" s="21">
        <v>10</v>
      </c>
    </row>
    <row r="10" spans="1:11" ht="15" customHeight="1" x14ac:dyDescent="0.2">
      <c r="A10" s="19" t="s">
        <v>51</v>
      </c>
      <c r="B10" s="17" t="s">
        <v>52</v>
      </c>
      <c r="C10" s="19" t="s">
        <v>50</v>
      </c>
      <c r="D10" s="31">
        <v>7</v>
      </c>
      <c r="E10" s="31">
        <v>10</v>
      </c>
      <c r="F10" s="18">
        <f>K10+SUMIFS(Purchases!$E$4:$E$50,Purchases!$C$4:$C$50,$A10)-SUMIFS('Sales Log'!$F$4:$F$120,'Sales Log'!$D$4:$D$120,$A10)</f>
        <v>55</v>
      </c>
      <c r="G10" s="18">
        <v>20</v>
      </c>
      <c r="H10" s="19" t="str">
        <f>IF(F10&lt;=G10,"REORDER","OK")</f>
        <v>OK</v>
      </c>
      <c r="I10" s="31">
        <f>D10*F10</f>
        <v>385</v>
      </c>
      <c r="K10" s="18">
        <v>55</v>
      </c>
    </row>
    <row r="11" spans="1:11" ht="15" customHeight="1" x14ac:dyDescent="0.2">
      <c r="A11" s="22" t="s">
        <v>53</v>
      </c>
      <c r="B11" s="20" t="s">
        <v>54</v>
      </c>
      <c r="C11" s="22" t="s">
        <v>55</v>
      </c>
      <c r="D11" s="28">
        <v>11</v>
      </c>
      <c r="E11" s="28">
        <v>15</v>
      </c>
      <c r="F11" s="21">
        <f>K11+SUMIFS(Purchases!$E$4:$E$50,Purchases!$C$4:$C$50,$A11)-SUMIFS('Sales Log'!$F$4:$F$120,'Sales Log'!$D$4:$D$120,$A11)</f>
        <v>40</v>
      </c>
      <c r="G11" s="21">
        <v>15</v>
      </c>
      <c r="H11" s="22" t="str">
        <f>IF(F11&lt;=G11,"REORDER","OK")</f>
        <v>OK</v>
      </c>
      <c r="I11" s="28">
        <f>D11*F11</f>
        <v>440</v>
      </c>
      <c r="K11" s="21">
        <v>0</v>
      </c>
    </row>
    <row r="12" spans="1:11" ht="15" customHeight="1" x14ac:dyDescent="0.2">
      <c r="A12" s="19" t="s">
        <v>56</v>
      </c>
      <c r="B12" s="17" t="s">
        <v>57</v>
      </c>
      <c r="C12" s="19" t="s">
        <v>55</v>
      </c>
      <c r="D12" s="31">
        <v>11</v>
      </c>
      <c r="E12" s="31">
        <v>15</v>
      </c>
      <c r="F12" s="18">
        <f>K12+SUMIFS(Purchases!$E$4:$E$50,Purchases!$C$4:$C$50,$A12)-SUMIFS('Sales Log'!$F$4:$F$120,'Sales Log'!$D$4:$D$120,$A12)</f>
        <v>8</v>
      </c>
      <c r="G12" s="18">
        <v>15</v>
      </c>
      <c r="H12" s="19" t="str">
        <f>IF(F12&lt;=G12,"REORDER","OK")</f>
        <v>REORDER</v>
      </c>
      <c r="I12" s="31">
        <f>D12*F12</f>
        <v>88</v>
      </c>
      <c r="K12" s="18">
        <v>8</v>
      </c>
    </row>
    <row r="13" spans="1:11" ht="15" customHeight="1" x14ac:dyDescent="0.2">
      <c r="A13" s="22" t="s">
        <v>58</v>
      </c>
      <c r="B13" s="20" t="s">
        <v>59</v>
      </c>
      <c r="C13" s="22" t="s">
        <v>60</v>
      </c>
      <c r="D13" s="28">
        <v>45</v>
      </c>
      <c r="E13" s="28">
        <v>60</v>
      </c>
      <c r="F13" s="21">
        <f>K13+SUMIFS(Purchases!$E$4:$E$50,Purchases!$C$4:$C$50,$A13)-SUMIFS('Sales Log'!$F$4:$F$120,'Sales Log'!$D$4:$D$120,$A13)</f>
        <v>20</v>
      </c>
      <c r="G13" s="21">
        <v>8</v>
      </c>
      <c r="H13" s="22" t="str">
        <f>IF(F13&lt;=G13,"REORDER","OK")</f>
        <v>OK</v>
      </c>
      <c r="I13" s="28">
        <f>D13*F13</f>
        <v>900</v>
      </c>
      <c r="K13" s="21">
        <v>20</v>
      </c>
    </row>
    <row r="14" spans="1:11" ht="15" customHeight="1" x14ac:dyDescent="0.2">
      <c r="A14" s="19" t="s">
        <v>61</v>
      </c>
      <c r="B14" s="17" t="s">
        <v>62</v>
      </c>
      <c r="C14" s="19" t="s">
        <v>63</v>
      </c>
      <c r="D14" s="31">
        <v>28</v>
      </c>
      <c r="E14" s="31">
        <v>38</v>
      </c>
      <c r="F14" s="18">
        <f>K14+SUMIFS(Purchases!$E$4:$E$50,Purchases!$C$4:$C$50,$A14)-SUMIFS('Sales Log'!$F$4:$F$120,'Sales Log'!$D$4:$D$120,$A14)</f>
        <v>25</v>
      </c>
      <c r="G14" s="18">
        <v>10</v>
      </c>
      <c r="H14" s="19" t="str">
        <f>IF(F14&lt;=G14,"REORDER","OK")</f>
        <v>OK</v>
      </c>
      <c r="I14" s="31">
        <f>D14*F14</f>
        <v>700</v>
      </c>
      <c r="K14" s="18">
        <v>25</v>
      </c>
    </row>
    <row r="15" spans="1:11" ht="15" customHeight="1" x14ac:dyDescent="0.2">
      <c r="A15" s="22" t="s">
        <v>64</v>
      </c>
      <c r="B15" s="20" t="s">
        <v>65</v>
      </c>
      <c r="C15" s="22" t="s">
        <v>46</v>
      </c>
      <c r="D15" s="28">
        <v>18</v>
      </c>
      <c r="E15" s="28">
        <v>25</v>
      </c>
      <c r="F15" s="21">
        <f>K15+SUMIFS(Purchases!$E$4:$E$50,Purchases!$C$4:$C$50,$A15)-SUMIFS('Sales Log'!$F$4:$F$120,'Sales Log'!$D$4:$D$120,$A15)</f>
        <v>30</v>
      </c>
      <c r="G15" s="21">
        <v>10</v>
      </c>
      <c r="H15" s="22" t="str">
        <f>IF(F15&lt;=G15,"REORDER","OK")</f>
        <v>OK</v>
      </c>
      <c r="I15" s="28">
        <f>D15*F15</f>
        <v>540</v>
      </c>
      <c r="K15" s="21">
        <v>30</v>
      </c>
    </row>
    <row r="16" spans="1:11" ht="15" customHeight="1" x14ac:dyDescent="0.2">
      <c r="A16" s="19" t="s">
        <v>66</v>
      </c>
      <c r="B16" s="17" t="s">
        <v>67</v>
      </c>
      <c r="C16" s="19" t="s">
        <v>68</v>
      </c>
      <c r="D16" s="31">
        <v>17</v>
      </c>
      <c r="E16" s="31">
        <v>24</v>
      </c>
      <c r="F16" s="18">
        <f>K16+SUMIFS(Purchases!$E$4:$E$50,Purchases!$C$4:$C$50,$A16)-SUMIFS('Sales Log'!$F$4:$F$120,'Sales Log'!$D$4:$D$120,$A16)</f>
        <v>35</v>
      </c>
      <c r="G16" s="18">
        <v>12</v>
      </c>
      <c r="H16" s="19" t="str">
        <f>IF(F16&lt;=G16,"REORDER","OK")</f>
        <v>OK</v>
      </c>
      <c r="I16" s="31">
        <f>D16*F16</f>
        <v>595</v>
      </c>
      <c r="K16" s="18">
        <v>35</v>
      </c>
    </row>
    <row r="17" spans="1:11" ht="15" customHeight="1" x14ac:dyDescent="0.2">
      <c r="A17" s="22" t="s">
        <v>69</v>
      </c>
      <c r="B17" s="20" t="s">
        <v>70</v>
      </c>
      <c r="C17" s="22" t="s">
        <v>68</v>
      </c>
      <c r="D17" s="28">
        <v>12</v>
      </c>
      <c r="E17" s="28">
        <v>18</v>
      </c>
      <c r="F17" s="21">
        <f>K17+SUMIFS(Purchases!$E$4:$E$50,Purchases!$C$4:$C$50,$A17)-SUMIFS('Sales Log'!$F$4:$F$120,'Sales Log'!$D$4:$D$120,$A17)</f>
        <v>50</v>
      </c>
      <c r="G17" s="21">
        <v>15</v>
      </c>
      <c r="H17" s="22" t="str">
        <f>IF(F17&lt;=G17,"REORDER","OK")</f>
        <v>OK</v>
      </c>
      <c r="I17" s="28">
        <f>D17*F17</f>
        <v>600</v>
      </c>
      <c r="K17" s="21">
        <v>50</v>
      </c>
    </row>
    <row r="18" spans="1:11" ht="15" customHeight="1" x14ac:dyDescent="0.2">
      <c r="A18" s="19" t="s">
        <v>71</v>
      </c>
      <c r="B18" s="17" t="s">
        <v>72</v>
      </c>
      <c r="C18" s="19" t="s">
        <v>73</v>
      </c>
      <c r="D18" s="31">
        <v>42</v>
      </c>
      <c r="E18" s="31">
        <v>50</v>
      </c>
      <c r="F18" s="18">
        <f>K18+SUMIFS(Purchases!$E$4:$E$50,Purchases!$C$4:$C$50,$A18)-SUMIFS('Sales Log'!$F$4:$F$120,'Sales Log'!$D$4:$D$120,$A18)</f>
        <v>100</v>
      </c>
      <c r="G18" s="18">
        <v>25</v>
      </c>
      <c r="H18" s="19" t="str">
        <f>IF(F18&lt;=G18,"REORDER","OK")</f>
        <v>OK</v>
      </c>
      <c r="I18" s="31">
        <f>D18*F18</f>
        <v>4200</v>
      </c>
      <c r="K18" s="18">
        <v>0</v>
      </c>
    </row>
    <row r="19" spans="1:11" ht="15" customHeight="1" x14ac:dyDescent="0.2">
      <c r="A19" s="22" t="s">
        <v>74</v>
      </c>
      <c r="B19" s="20" t="s">
        <v>75</v>
      </c>
      <c r="C19" s="22" t="s">
        <v>73</v>
      </c>
      <c r="D19" s="28">
        <v>6.5</v>
      </c>
      <c r="E19" s="28">
        <v>9</v>
      </c>
      <c r="F19" s="21">
        <f>K19+SUMIFS(Purchases!$E$4:$E$50,Purchases!$C$4:$C$50,$A19)-SUMIFS('Sales Log'!$F$4:$F$120,'Sales Log'!$D$4:$D$120,$A19)</f>
        <v>200</v>
      </c>
      <c r="G19" s="21">
        <v>50</v>
      </c>
      <c r="H19" s="22" t="str">
        <f>IF(F19&lt;=G19,"REORDER","OK")</f>
        <v>OK</v>
      </c>
      <c r="I19" s="28">
        <f>D19*F19</f>
        <v>1300</v>
      </c>
      <c r="K19" s="21">
        <v>200</v>
      </c>
    </row>
    <row r="20" spans="1:11" ht="15" customHeight="1" x14ac:dyDescent="0.2">
      <c r="A20" s="19" t="s">
        <v>76</v>
      </c>
      <c r="B20" s="17" t="s">
        <v>77</v>
      </c>
      <c r="C20" s="19" t="s">
        <v>78</v>
      </c>
      <c r="D20" s="31">
        <v>18</v>
      </c>
      <c r="E20" s="31">
        <v>25</v>
      </c>
      <c r="F20" s="18">
        <f>K20+SUMIFS(Purchases!$E$4:$E$50,Purchases!$C$4:$C$50,$A20)-SUMIFS('Sales Log'!$F$4:$F$120,'Sales Log'!$D$4:$D$120,$A20)</f>
        <v>18</v>
      </c>
      <c r="G20" s="18">
        <v>8</v>
      </c>
      <c r="H20" s="19" t="str">
        <f>IF(F20&lt;=G20,"REORDER","OK")</f>
        <v>OK</v>
      </c>
      <c r="I20" s="31">
        <f>D20*F20</f>
        <v>324</v>
      </c>
      <c r="K20" s="18">
        <v>18</v>
      </c>
    </row>
    <row r="21" spans="1:11" ht="15" customHeight="1" x14ac:dyDescent="0.2">
      <c r="A21" s="22" t="s">
        <v>79</v>
      </c>
      <c r="B21" s="20" t="s">
        <v>80</v>
      </c>
      <c r="C21" s="22" t="s">
        <v>78</v>
      </c>
      <c r="D21" s="28">
        <v>18</v>
      </c>
      <c r="E21" s="28">
        <v>25</v>
      </c>
      <c r="F21" s="21">
        <f>K21+SUMIFS(Purchases!$E$4:$E$50,Purchases!$C$4:$C$50,$A21)-SUMIFS('Sales Log'!$F$4:$F$120,'Sales Log'!$D$4:$D$120,$A21)</f>
        <v>22</v>
      </c>
      <c r="G21" s="21">
        <v>8</v>
      </c>
      <c r="H21" s="22" t="str">
        <f>IF(F21&lt;=G21,"REORDER","OK")</f>
        <v>OK</v>
      </c>
      <c r="I21" s="28">
        <f>D21*F21</f>
        <v>396</v>
      </c>
      <c r="K21" s="21">
        <v>22</v>
      </c>
    </row>
    <row r="22" spans="1:11" ht="15" customHeight="1" x14ac:dyDescent="0.2">
      <c r="H22" s="22"/>
    </row>
    <row r="23" spans="1:11" x14ac:dyDescent="0.2">
      <c r="H23" s="22"/>
    </row>
    <row r="24" spans="1:11" x14ac:dyDescent="0.2">
      <c r="A24" s="54" t="s">
        <v>81</v>
      </c>
      <c r="B24" s="54"/>
      <c r="C24" s="54"/>
      <c r="D24" s="54"/>
      <c r="E24" s="54"/>
      <c r="F24" s="36">
        <f>SUM(F4:F21)</f>
        <v>899</v>
      </c>
      <c r="G24" s="35"/>
      <c r="H24" s="35"/>
      <c r="I24" s="37">
        <f>SUM(I4:I21)</f>
        <v>13849</v>
      </c>
    </row>
  </sheetData>
  <mergeCells count="3">
    <mergeCell ref="A1:I1"/>
    <mergeCell ref="A2:I2"/>
    <mergeCell ref="A24:E24"/>
  </mergeCells>
  <conditionalFormatting sqref="F4:F21">
    <cfRule type="expression" dxfId="5" priority="4">
      <formula>F4&lt;=G4</formula>
    </cfRule>
  </conditionalFormatting>
  <conditionalFormatting sqref="H4:H21">
    <cfRule type="cellIs" dxfId="4" priority="2" operator="equal">
      <formula>"REORDER"</formula>
    </cfRule>
    <cfRule type="cellIs" dxfId="3" priority="3" operator="equal">
      <formula>"OK"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topLeftCell="J1" zoomScale="67" zoomScaleNormal="67" workbookViewId="0">
      <pane ySplit="3" topLeftCell="J4" activePane="bottomLeft" state="frozen"/>
      <selection activeCell="G1" sqref="G1"/>
      <selection pane="bottomLeft" activeCell="F4" sqref="F4"/>
    </sheetView>
  </sheetViews>
  <sheetFormatPr defaultColWidth="8.609375" defaultRowHeight="15" x14ac:dyDescent="0.2"/>
  <cols>
    <col min="1" max="1" width="13.98828125" style="15" customWidth="1"/>
    <col min="2" max="2" width="18.0234375" style="15" customWidth="1"/>
    <col min="3" max="3" width="32.015625" style="15" customWidth="1"/>
    <col min="4" max="4" width="14.9296875" style="15" customWidth="1"/>
    <col min="5" max="5" width="13.046875" style="15" customWidth="1"/>
    <col min="6" max="6" width="14.9296875" style="15" customWidth="1"/>
    <col min="7" max="7" width="13.98828125" style="15" customWidth="1"/>
    <col min="8" max="8" width="11.02734375" style="15" customWidth="1"/>
  </cols>
  <sheetData>
    <row r="1" spans="1:8" ht="33.75" customHeight="1" x14ac:dyDescent="0.2">
      <c r="A1" s="52" t="s">
        <v>82</v>
      </c>
      <c r="B1" s="52"/>
      <c r="C1" s="52"/>
      <c r="D1" s="52"/>
      <c r="E1" s="52"/>
      <c r="F1" s="52"/>
      <c r="G1" s="52"/>
      <c r="H1" s="52"/>
    </row>
    <row r="2" spans="1:8" ht="15" customHeight="1" x14ac:dyDescent="0.2">
      <c r="A2" s="53"/>
      <c r="B2" s="53"/>
      <c r="C2" s="53"/>
      <c r="D2" s="53"/>
      <c r="E2" s="53"/>
      <c r="F2" s="53"/>
      <c r="G2" s="53"/>
      <c r="H2" s="53"/>
    </row>
    <row r="3" spans="1:8" ht="27.75" customHeight="1" x14ac:dyDescent="0.15">
      <c r="A3" s="25" t="s">
        <v>83</v>
      </c>
      <c r="B3" s="25" t="s">
        <v>26</v>
      </c>
      <c r="C3" s="25" t="s">
        <v>84</v>
      </c>
      <c r="D3" s="25" t="s">
        <v>85</v>
      </c>
      <c r="E3" s="25" t="s">
        <v>86</v>
      </c>
      <c r="F3" s="25" t="s">
        <v>87</v>
      </c>
      <c r="G3" s="25" t="s">
        <v>88</v>
      </c>
      <c r="H3" s="25" t="s">
        <v>12</v>
      </c>
    </row>
    <row r="4" spans="1:8" ht="15" customHeight="1" x14ac:dyDescent="0.2">
      <c r="A4" s="29">
        <f ca="1">IFERROR(INDEX('Sales Log'!$A:$A,MATCH(ROW()-3,'Sales Log'!$Z:$Z,0)),"")</f>
        <v>46302</v>
      </c>
      <c r="B4" s="38" t="str">
        <f ca="1">IF(A4="","",IFERROR(INDEX('Sales Log'!$L:$L,MATCH(ROW()-3,'Sales Log'!$Z:$Z,0)),""))</f>
        <v>Magtalas</v>
      </c>
      <c r="C4" s="17" t="str">
        <f ca="1">IF(A4="","",IFERROR(INDEX('Sales Log'!$E:$E,MATCH(ROW()-3,'Sales Log'!$Z:$Z,0))&amp;" x "&amp;INDEX('Sales Log'!$F:$F,MATCH(ROW()-3,'Sales Log'!$Z:$Z,0))&amp;" pcs",""))</f>
        <v>Lucky Me Instant Mami x 2 pcs</v>
      </c>
      <c r="D4" s="31">
        <f ca="1">IF(A4="","",IFERROR(INDEX('Sales Log'!$H:$H,MATCH(ROW()-3,'Sales Log'!$Z:$Z,0)),""))</f>
        <v>26</v>
      </c>
      <c r="E4" s="29"/>
      <c r="F4" s="31">
        <v>20</v>
      </c>
      <c r="G4" s="31">
        <f ca="1">IF(D4="","",D4-IF(F4="",0,F4))</f>
        <v>6</v>
      </c>
      <c r="H4" s="19" t="str">
        <f ca="1">IF(D4="","",IF(G4&lt;=0,"PAID",IF(F4&gt;0,"PARTIAL","UNPAID")))</f>
        <v>PARTIAL</v>
      </c>
    </row>
    <row r="5" spans="1:8" ht="15" customHeight="1" x14ac:dyDescent="0.2">
      <c r="A5" s="29" t="str">
        <f>IFERROR(INDEX('Sales Log'!$A:$A,MATCH(ROW()-3,'Sales Log'!$Z:$Z,0)),"")</f>
        <v/>
      </c>
      <c r="B5" s="17" t="str">
        <f>IF(A5="","",IFERROR(INDEX('Sales Log'!$L:$L,MATCH(ROW()-3,'Sales Log'!$Z:$Z,0)),""))</f>
        <v/>
      </c>
      <c r="C5" s="17" t="str">
        <f>IF(A5="","",IFERROR(INDEX('Sales Log'!$E:$E,MATCH(ROW()-3,'Sales Log'!$Z:$Z,0))&amp;" x "&amp;INDEX('Sales Log'!$F:$F,MATCH(ROW()-3,'Sales Log'!$Z:$Z,0))&amp;" pcs",""))</f>
        <v/>
      </c>
      <c r="D5" s="31" t="str">
        <f>IF(A5="","",IFERROR(INDEX('Sales Log'!$H:$H,MATCH(ROW()-3,'Sales Log'!$Z:$Z,0)),""))</f>
        <v/>
      </c>
      <c r="E5" s="29" t="str">
        <f ca="1">IF(N(F5)&lt;=0,"",IF(N(E5)=0,TODAY(),E5))</f>
        <v/>
      </c>
      <c r="F5" s="31"/>
      <c r="G5" s="31" t="str">
        <f>IF(D5="","",D5-IF(F5="",0,F5))</f>
        <v/>
      </c>
      <c r="H5" s="19" t="str">
        <f>IF(D5="","",IF(G5&lt;=0,"PAID",IF(F5&gt;0,"PARTIAL","UNPAID")))</f>
        <v/>
      </c>
    </row>
    <row r="6" spans="1:8" ht="15" customHeight="1" x14ac:dyDescent="0.2">
      <c r="A6" s="29" t="str">
        <f>IFERROR(INDEX('Sales Log'!$A:$A,MATCH(ROW()-3,'Sales Log'!$Z:$Z,0)),"")</f>
        <v/>
      </c>
      <c r="B6" s="38" t="str">
        <f>IF(A6="","",IFERROR(INDEX('Sales Log'!$L:$L,MATCH(ROW()-3,'Sales Log'!$Z:$Z,0)),""))</f>
        <v/>
      </c>
      <c r="C6" s="17" t="str">
        <f>IF(A6="","",IFERROR(INDEX('Sales Log'!$E:$E,MATCH(ROW()-3,'Sales Log'!$Z:$Z,0))&amp;" x "&amp;INDEX('Sales Log'!$F:$F,MATCH(ROW()-3,'Sales Log'!$Z:$Z,0))&amp;" pcs",""))</f>
        <v/>
      </c>
      <c r="D6" s="31" t="str">
        <f>IF(A6="","",IFERROR(INDEX('Sales Log'!$H:$H,MATCH(ROW()-3,'Sales Log'!$Z:$Z,0)),""))</f>
        <v/>
      </c>
      <c r="E6" s="29" t="str">
        <f ca="1">IF(N(F6)&lt;=0,"",IF(N(E6)=0,TODAY(),E6))</f>
        <v/>
      </c>
      <c r="F6" s="31"/>
      <c r="G6" s="31" t="str">
        <f>IF(D6="","",D6-IF(F6="",0,F6))</f>
        <v/>
      </c>
      <c r="H6" s="19" t="str">
        <f>IF(D6="","",IF(G6&lt;=0,"PAID",IF(F6&gt;0,"PARTIAL","UNPAID")))</f>
        <v/>
      </c>
    </row>
    <row r="7" spans="1:8" ht="15" customHeight="1" x14ac:dyDescent="0.2">
      <c r="A7" s="29" t="str">
        <f>IFERROR(INDEX('Sales Log'!$A:$A,MATCH(ROW()-3,'Sales Log'!$Z:$Z,0)),"")</f>
        <v/>
      </c>
      <c r="B7" s="38" t="str">
        <f>IF(A7="","",IFERROR(INDEX('Sales Log'!$L:$L,MATCH(ROW()-3,'Sales Log'!$Z:$Z,0)),""))</f>
        <v/>
      </c>
      <c r="C7" s="17" t="str">
        <f>IF(A7="","",IFERROR(INDEX('Sales Log'!$E:$E,MATCH(ROW()-3,'Sales Log'!$Z:$Z,0))&amp;" x "&amp;INDEX('Sales Log'!$F:$F,MATCH(ROW()-3,'Sales Log'!$Z:$Z,0))&amp;" pcs",""))</f>
        <v/>
      </c>
      <c r="D7" s="31" t="str">
        <f>IF(A7="","",IFERROR(INDEX('Sales Log'!$H:$H,MATCH(ROW()-3,'Sales Log'!$Z:$Z,0)),""))</f>
        <v/>
      </c>
      <c r="E7" s="29" t="str">
        <f ca="1">IF(N(F7)&lt;=0,"",IF(N(E7)=0,TODAY(),E7))</f>
        <v/>
      </c>
      <c r="F7" s="31"/>
      <c r="G7" s="31" t="str">
        <f>IF(D7="","",D7-IF(F7="",0,F7))</f>
        <v/>
      </c>
      <c r="H7" s="19" t="str">
        <f>IF(D7="","",IF(G7&lt;=0,"PAID",IF(F7&gt;0,"PARTIAL","UNPAID")))</f>
        <v/>
      </c>
    </row>
    <row r="8" spans="1:8" ht="15" customHeight="1" x14ac:dyDescent="0.2">
      <c r="A8" s="29" t="str">
        <f>IFERROR(INDEX('Sales Log'!$A:$A,MATCH(ROW()-3,'Sales Log'!$Z:$Z,0)),"")</f>
        <v/>
      </c>
      <c r="B8" s="38" t="str">
        <f>IF(A8="","",IFERROR(INDEX('Sales Log'!$L:$L,MATCH(ROW()-3,'Sales Log'!$Z:$Z,0)),""))</f>
        <v/>
      </c>
      <c r="C8" s="17" t="str">
        <f>IF(A8="","",IFERROR(INDEX('Sales Log'!$E:$E,MATCH(ROW()-3,'Sales Log'!$Z:$Z,0))&amp;" x "&amp;INDEX('Sales Log'!$F:$F,MATCH(ROW()-3,'Sales Log'!$Z:$Z,0))&amp;" pcs",""))</f>
        <v/>
      </c>
      <c r="D8" s="31" t="str">
        <f>IF(A8="","",IFERROR(INDEX('Sales Log'!$H:$H,MATCH(ROW()-3,'Sales Log'!$Z:$Z,0)),""))</f>
        <v/>
      </c>
      <c r="E8" s="29" t="str">
        <f ca="1">IF(N(F8)&lt;=0,"",IF(N(E8)=0,TODAY(),E8))</f>
        <v/>
      </c>
      <c r="F8" s="31"/>
      <c r="G8" s="31" t="str">
        <f>IF(D8="","",D8-IF(F8="",0,F8))</f>
        <v/>
      </c>
      <c r="H8" s="19" t="str">
        <f>IF(D8="","",IF(G8&lt;=0,"PAID",IF(F8&gt;0,"PARTIAL","UNPAID")))</f>
        <v/>
      </c>
    </row>
    <row r="9" spans="1:8" ht="15" customHeight="1" x14ac:dyDescent="0.2">
      <c r="A9" s="29" t="str">
        <f>IFERROR(INDEX('Sales Log'!$A:$A,MATCH(ROW()-3,'Sales Log'!$Z:$Z,0)),"")</f>
        <v/>
      </c>
      <c r="B9" s="17" t="str">
        <f>IF(A9="","",IFERROR(INDEX('Sales Log'!$L:$L,MATCH(ROW()-3,'Sales Log'!$Z:$Z,0)),""))</f>
        <v/>
      </c>
      <c r="C9" s="17" t="str">
        <f>IF(A9="","",IFERROR(INDEX('Sales Log'!$E:$E,MATCH(ROW()-3,'Sales Log'!$Z:$Z,0))&amp;" x "&amp;INDEX('Sales Log'!$F:$F,MATCH(ROW()-3,'Sales Log'!$Z:$Z,0))&amp;" pcs",""))</f>
        <v/>
      </c>
      <c r="D9" s="31" t="str">
        <f>IF(A9="","",IFERROR(INDEX('Sales Log'!$H:$H,MATCH(ROW()-3,'Sales Log'!$Z:$Z,0)),""))</f>
        <v/>
      </c>
      <c r="E9" s="29" t="str">
        <f ca="1">IF(N(F9)&lt;=0,"",IF(N(E9)=0,TODAY(),E9))</f>
        <v/>
      </c>
      <c r="F9" s="31"/>
      <c r="G9" s="31" t="str">
        <f>IF(D9="","",D9-IF(F9="",0,F9))</f>
        <v/>
      </c>
      <c r="H9" s="19" t="str">
        <f>IF(D9="","",IF(G9&lt;=0,"PAID",IF(F9&gt;0,"PARTIAL","UNPAID")))</f>
        <v/>
      </c>
    </row>
    <row r="10" spans="1:8" ht="15" customHeight="1" x14ac:dyDescent="0.2">
      <c r="A10" s="29" t="str">
        <f>IFERROR(INDEX('Sales Log'!$A:$A,MATCH(ROW()-3,'Sales Log'!$Z:$Z,0)),"")</f>
        <v/>
      </c>
      <c r="B10" s="17" t="str">
        <f>IF(A10="","",IFERROR(INDEX('Sales Log'!$L:$L,MATCH(ROW()-3,'Sales Log'!$Z:$Z,0)),""))</f>
        <v/>
      </c>
      <c r="C10" s="17" t="str">
        <f>IF(A10="","",IFERROR(INDEX('Sales Log'!$E:$E,MATCH(ROW()-3,'Sales Log'!$Z:$Z,0))&amp;" x "&amp;INDEX('Sales Log'!$F:$F,MATCH(ROW()-3,'Sales Log'!$Z:$Z,0))&amp;" pcs",""))</f>
        <v/>
      </c>
      <c r="D10" s="31" t="str">
        <f>IF(A10="","",IFERROR(INDEX('Sales Log'!$H:$H,MATCH(ROW()-3,'Sales Log'!$Z:$Z,0)),""))</f>
        <v/>
      </c>
      <c r="E10" s="29" t="str">
        <f ca="1">IF(N(F10)&lt;=0,"",IF(N(E10)=0,TODAY(),E10))</f>
        <v/>
      </c>
      <c r="F10" s="31"/>
      <c r="G10" s="31" t="str">
        <f>IF(D10="","",D10-IF(F10="",0,F10))</f>
        <v/>
      </c>
      <c r="H10" s="19" t="str">
        <f>IF(D10="","",IF(G10&lt;=0,"PAID",IF(F10&gt;0,"PARTIAL","UNPAID")))</f>
        <v/>
      </c>
    </row>
    <row r="11" spans="1:8" ht="15" customHeight="1" x14ac:dyDescent="0.2">
      <c r="A11" s="29" t="str">
        <f>IFERROR(INDEX('Sales Log'!$A:$A,MATCH(ROW()-3,'Sales Log'!$Z:$Z,0)),"")</f>
        <v/>
      </c>
      <c r="B11" s="17" t="str">
        <f>IF(A11="","",IFERROR(INDEX('Sales Log'!$L:$L,MATCH(ROW()-3,'Sales Log'!$Z:$Z,0)),""))</f>
        <v/>
      </c>
      <c r="C11" s="17" t="str">
        <f>IF(A11="","",IFERROR(INDEX('Sales Log'!$E:$E,MATCH(ROW()-3,'Sales Log'!$Z:$Z,0))&amp;" x "&amp;INDEX('Sales Log'!$F:$F,MATCH(ROW()-3,'Sales Log'!$Z:$Z,0))&amp;" pcs",""))</f>
        <v/>
      </c>
      <c r="D11" s="31" t="str">
        <f>IF(A11="","",IFERROR(INDEX('Sales Log'!$H:$H,MATCH(ROW()-3,'Sales Log'!$Z:$Z,0)),""))</f>
        <v/>
      </c>
      <c r="E11" s="29" t="str">
        <f ca="1">IF(N(F11)&lt;=0,"",IF(N(E11)=0,TODAY(),E11))</f>
        <v/>
      </c>
      <c r="F11" s="31"/>
      <c r="G11" s="31" t="str">
        <f>IF(D11="","",D11-IF(F11="",0,F11))</f>
        <v/>
      </c>
      <c r="H11" s="19" t="str">
        <f>IF(D11="","",IF(G11&lt;=0,"PAID",IF(F11&gt;0,"PARTIAL","UNPAID")))</f>
        <v/>
      </c>
    </row>
    <row r="12" spans="1:8" ht="15" customHeight="1" x14ac:dyDescent="0.2">
      <c r="A12" s="29" t="str">
        <f>IFERROR(INDEX('Sales Log'!$A:$A,MATCH(ROW()-3,'Sales Log'!$Z:$Z,0)),"")</f>
        <v/>
      </c>
      <c r="B12" s="17" t="str">
        <f>IF(A12="","",IFERROR(INDEX('Sales Log'!$L:$L,MATCH(ROW()-3,'Sales Log'!$Z:$Z,0)),""))</f>
        <v/>
      </c>
      <c r="C12" s="17" t="str">
        <f>IF(A12="","",IFERROR(INDEX('Sales Log'!$E:$E,MATCH(ROW()-3,'Sales Log'!$Z:$Z,0))&amp;" x "&amp;INDEX('Sales Log'!$F:$F,MATCH(ROW()-3,'Sales Log'!$Z:$Z,0))&amp;" pcs",""))</f>
        <v/>
      </c>
      <c r="D12" s="31" t="str">
        <f>IF(A12="","",IFERROR(INDEX('Sales Log'!$H:$H,MATCH(ROW()-3,'Sales Log'!$Z:$Z,0)),""))</f>
        <v/>
      </c>
      <c r="E12" s="29" t="str">
        <f ca="1">IF(N(F12)&lt;=0,"",IF(N(E12)=0,TODAY(),E12))</f>
        <v/>
      </c>
      <c r="F12" s="31"/>
      <c r="G12" s="31" t="str">
        <f>IF(D12="","",D12-IF(F12="",0,F12))</f>
        <v/>
      </c>
      <c r="H12" s="19" t="str">
        <f>IF(D12="","",IF(G12&lt;=0,"PAID",IF(F12&gt;0,"PARTIAL","UNPAID")))</f>
        <v/>
      </c>
    </row>
    <row r="13" spans="1:8" ht="15" customHeight="1" x14ac:dyDescent="0.2">
      <c r="A13" s="29" t="str">
        <f>IFERROR(INDEX('Sales Log'!$A:$A,MATCH(ROW()-3,'Sales Log'!$Z:$Z,0)),"")</f>
        <v/>
      </c>
      <c r="B13" s="17" t="str">
        <f>IF(A13="","",IFERROR(INDEX('Sales Log'!$L:$L,MATCH(ROW()-3,'Sales Log'!$Z:$Z,0)),""))</f>
        <v/>
      </c>
      <c r="C13" s="17" t="str">
        <f>IF(A13="","",IFERROR(INDEX('Sales Log'!$E:$E,MATCH(ROW()-3,'Sales Log'!$Z:$Z,0))&amp;" x "&amp;INDEX('Sales Log'!$F:$F,MATCH(ROW()-3,'Sales Log'!$Z:$Z,0))&amp;" pcs",""))</f>
        <v/>
      </c>
      <c r="D13" s="31" t="str">
        <f>IF(A13="","",IFERROR(INDEX('Sales Log'!$H:$H,MATCH(ROW()-3,'Sales Log'!$Z:$Z,0)),""))</f>
        <v/>
      </c>
      <c r="E13" s="29" t="str">
        <f ca="1">IF(N(F13)&lt;=0,"",IF(N(E13)=0,TODAY(),E13))</f>
        <v/>
      </c>
      <c r="F13" s="31"/>
      <c r="G13" s="31" t="str">
        <f>IF(D13="","",D13-IF(F13="",0,F13))</f>
        <v/>
      </c>
      <c r="H13" s="19" t="str">
        <f>IF(D13="","",IF(G13&lt;=0,"PAID",IF(F13&gt;0,"PARTIAL","UNPAID")))</f>
        <v/>
      </c>
    </row>
    <row r="14" spans="1:8" ht="15" customHeight="1" x14ac:dyDescent="0.2">
      <c r="A14" s="29" t="str">
        <f>IFERROR(INDEX('Sales Log'!$A:$A,MATCH(ROW()-3,'Sales Log'!$Z:$Z,0)),"")</f>
        <v/>
      </c>
      <c r="B14" s="17" t="str">
        <f>IF(A14="","",IFERROR(INDEX('Sales Log'!$L:$L,MATCH(ROW()-3,'Sales Log'!$Z:$Z,0)),""))</f>
        <v/>
      </c>
      <c r="C14" s="17" t="str">
        <f>IF(A14="","",IFERROR(INDEX('Sales Log'!$E:$E,MATCH(ROW()-3,'Sales Log'!$Z:$Z,0))&amp;" x "&amp;INDEX('Sales Log'!$F:$F,MATCH(ROW()-3,'Sales Log'!$Z:$Z,0))&amp;" pcs",""))</f>
        <v/>
      </c>
      <c r="D14" s="31" t="str">
        <f>IF(A14="","",IFERROR(INDEX('Sales Log'!$H:$H,MATCH(ROW()-3,'Sales Log'!$Z:$Z,0)),""))</f>
        <v/>
      </c>
      <c r="E14" s="29" t="str">
        <f ca="1">IF(N(F14)&lt;=0,"",IF(N(E14)=0,TODAY(),E14))</f>
        <v/>
      </c>
      <c r="F14" s="31"/>
      <c r="G14" s="31" t="str">
        <f>IF(D14="","",D14-IF(F14="",0,F14))</f>
        <v/>
      </c>
      <c r="H14" s="19" t="str">
        <f>IF(D14="","",IF(G14&lt;=0,"PAID",IF(F14&gt;0,"PARTIAL","UNPAID")))</f>
        <v/>
      </c>
    </row>
    <row r="15" spans="1:8" ht="15" customHeight="1" x14ac:dyDescent="0.2">
      <c r="A15" s="29" t="str">
        <f>IFERROR(INDEX('Sales Log'!$A:$A,MATCH(ROW()-3,'Sales Log'!$Z:$Z,0)),"")</f>
        <v/>
      </c>
      <c r="B15" s="17" t="str">
        <f>IF(A15="","",IFERROR(INDEX('Sales Log'!$L:$L,MATCH(ROW()-3,'Sales Log'!$Z:$Z,0)),""))</f>
        <v/>
      </c>
      <c r="C15" s="17" t="str">
        <f>IF(A15="","",IFERROR(INDEX('Sales Log'!$E:$E,MATCH(ROW()-3,'Sales Log'!$Z:$Z,0))&amp;" x "&amp;INDEX('Sales Log'!$F:$F,MATCH(ROW()-3,'Sales Log'!$Z:$Z,0))&amp;" pcs",""))</f>
        <v/>
      </c>
      <c r="D15" s="31" t="str">
        <f>IF(A15="","",IFERROR(INDEX('Sales Log'!$H:$H,MATCH(ROW()-3,'Sales Log'!$Z:$Z,0)),""))</f>
        <v/>
      </c>
      <c r="E15" s="29" t="str">
        <f ca="1">IF(N(F15)&lt;=0,"",IF(N(E15)=0,TODAY(),E15))</f>
        <v/>
      </c>
      <c r="F15" s="31"/>
      <c r="G15" s="31" t="str">
        <f>IF(D15="","",D15-IF(F15="",0,F15))</f>
        <v/>
      </c>
      <c r="H15" s="19" t="str">
        <f>IF(D15="","",IF(G15&lt;=0,"PAID",IF(F15&gt;0,"PARTIAL","UNPAID")))</f>
        <v/>
      </c>
    </row>
    <row r="16" spans="1:8" ht="15" customHeight="1" x14ac:dyDescent="0.2">
      <c r="A16" s="29" t="str">
        <f>IFERROR(INDEX('Sales Log'!$A:$A,MATCH(ROW()-3,'Sales Log'!$Z:$Z,0)),"")</f>
        <v/>
      </c>
      <c r="B16" s="17" t="str">
        <f>IF(A16="","",IFERROR(INDEX('Sales Log'!$L:$L,MATCH(ROW()-3,'Sales Log'!$Z:$Z,0)),""))</f>
        <v/>
      </c>
      <c r="C16" s="17" t="str">
        <f>IF(A16="","",IFERROR(INDEX('Sales Log'!$E:$E,MATCH(ROW()-3,'Sales Log'!$Z:$Z,0))&amp;" x "&amp;INDEX('Sales Log'!$F:$F,MATCH(ROW()-3,'Sales Log'!$Z:$Z,0))&amp;" pcs",""))</f>
        <v/>
      </c>
      <c r="D16" s="31" t="str">
        <f>IF(A16="","",IFERROR(INDEX('Sales Log'!$H:$H,MATCH(ROW()-3,'Sales Log'!$Z:$Z,0)),""))</f>
        <v/>
      </c>
      <c r="E16" s="29" t="str">
        <f ca="1">IF(N(F16)&lt;=0,"",IF(N(E16)=0,TODAY(),E16))</f>
        <v/>
      </c>
      <c r="F16" s="31"/>
      <c r="G16" s="31" t="str">
        <f>IF(D16="","",D16-IF(F16="",0,F16))</f>
        <v/>
      </c>
      <c r="H16" s="19" t="str">
        <f>IF(D16="","",IF(G16&lt;=0,"PAID",IF(F16&gt;0,"PARTIAL","UNPAID")))</f>
        <v/>
      </c>
    </row>
    <row r="17" spans="1:8" ht="15" customHeight="1" x14ac:dyDescent="0.2">
      <c r="A17" s="29" t="str">
        <f>IFERROR(INDEX('Sales Log'!$A:$A,MATCH(ROW()-3,'Sales Log'!$Z:$Z,0)),"")</f>
        <v/>
      </c>
      <c r="B17" s="17" t="str">
        <f>IF(A17="","",IFERROR(INDEX('Sales Log'!$L:$L,MATCH(ROW()-3,'Sales Log'!$Z:$Z,0)),""))</f>
        <v/>
      </c>
      <c r="C17" s="17" t="str">
        <f>IF(A17="","",IFERROR(INDEX('Sales Log'!$E:$E,MATCH(ROW()-3,'Sales Log'!$Z:$Z,0))&amp;" x "&amp;INDEX('Sales Log'!$F:$F,MATCH(ROW()-3,'Sales Log'!$Z:$Z,0))&amp;" pcs",""))</f>
        <v/>
      </c>
      <c r="D17" s="31" t="str">
        <f>IF(A17="","",IFERROR(INDEX('Sales Log'!$H:$H,MATCH(ROW()-3,'Sales Log'!$Z:$Z,0)),""))</f>
        <v/>
      </c>
      <c r="E17" s="29" t="str">
        <f ca="1">IF(N(F17)&lt;=0,"",IF(N(E17)=0,TODAY(),E17))</f>
        <v/>
      </c>
      <c r="F17" s="31"/>
      <c r="G17" s="31" t="str">
        <f>IF(D17="","",D17-IF(F17="",0,F17))</f>
        <v/>
      </c>
      <c r="H17" s="19" t="str">
        <f>IF(D17="","",IF(G17&lt;=0,"PAID",IF(F17&gt;0,"PARTIAL","UNPAID")))</f>
        <v/>
      </c>
    </row>
    <row r="18" spans="1:8" ht="15" customHeight="1" x14ac:dyDescent="0.2">
      <c r="A18" s="29" t="str">
        <f>IFERROR(INDEX('Sales Log'!$A:$A,MATCH(ROW()-3,'Sales Log'!$Z:$Z,0)),"")</f>
        <v/>
      </c>
      <c r="B18" s="17" t="str">
        <f>IF(A18="","",IFERROR(INDEX('Sales Log'!$L:$L,MATCH(ROW()-3,'Sales Log'!$Z:$Z,0)),""))</f>
        <v/>
      </c>
      <c r="C18" s="17" t="str">
        <f>IF(A18="","",IFERROR(INDEX('Sales Log'!$E:$E,MATCH(ROW()-3,'Sales Log'!$Z:$Z,0))&amp;" x "&amp;INDEX('Sales Log'!$F:$F,MATCH(ROW()-3,'Sales Log'!$Z:$Z,0))&amp;" pcs",""))</f>
        <v/>
      </c>
      <c r="D18" s="31" t="str">
        <f>IF(A18="","",IFERROR(INDEX('Sales Log'!$H:$H,MATCH(ROW()-3,'Sales Log'!$Z:$Z,0)),""))</f>
        <v/>
      </c>
      <c r="E18" s="29" t="str">
        <f ca="1">IF(N(F18)&lt;=0,"",IF(N(E18)=0,TODAY(),E18))</f>
        <v/>
      </c>
      <c r="F18" s="31"/>
      <c r="G18" s="31" t="str">
        <f>IF(D18="","",D18-IF(F18="",0,F18))</f>
        <v/>
      </c>
      <c r="H18" s="19" t="str">
        <f>IF(D18="","",IF(G18&lt;=0,"PAID",IF(F18&gt;0,"PARTIAL","UNPAID")))</f>
        <v/>
      </c>
    </row>
    <row r="19" spans="1:8" ht="15" customHeight="1" x14ac:dyDescent="0.2">
      <c r="A19" s="29" t="str">
        <f>IFERROR(INDEX('Sales Log'!$A:$A,MATCH(ROW()-3,'Sales Log'!$Z:$Z,0)),"")</f>
        <v/>
      </c>
      <c r="B19" s="17" t="str">
        <f>IF(A19="","",IFERROR(INDEX('Sales Log'!$L:$L,MATCH(ROW()-3,'Sales Log'!$Z:$Z,0)),""))</f>
        <v/>
      </c>
      <c r="C19" s="17" t="str">
        <f>IF(A19="","",IFERROR(INDEX('Sales Log'!$E:$E,MATCH(ROW()-3,'Sales Log'!$Z:$Z,0))&amp;" x "&amp;INDEX('Sales Log'!$F:$F,MATCH(ROW()-3,'Sales Log'!$Z:$Z,0))&amp;" pcs",""))</f>
        <v/>
      </c>
      <c r="D19" s="31" t="str">
        <f>IF(A19="","",IFERROR(INDEX('Sales Log'!$H:$H,MATCH(ROW()-3,'Sales Log'!$Z:$Z,0)),""))</f>
        <v/>
      </c>
      <c r="E19" s="29" t="str">
        <f ca="1">IF(N(F19)&lt;=0,"",IF(N(E19)=0,TODAY(),E19))</f>
        <v/>
      </c>
      <c r="F19" s="31"/>
      <c r="G19" s="31" t="str">
        <f>IF(D19="","",D19-IF(F19="",0,F19))</f>
        <v/>
      </c>
      <c r="H19" s="19" t="str">
        <f>IF(D19="","",IF(G19&lt;=0,"PAID",IF(F19&gt;0,"PARTIAL","UNPAID")))</f>
        <v/>
      </c>
    </row>
    <row r="20" spans="1:8" ht="15" customHeight="1" x14ac:dyDescent="0.2">
      <c r="A20" s="29" t="str">
        <f>IFERROR(INDEX('Sales Log'!$A:$A,MATCH(ROW()-3,'Sales Log'!$Z:$Z,0)),"")</f>
        <v/>
      </c>
      <c r="B20" s="17" t="str">
        <f>IF(A20="","",IFERROR(INDEX('Sales Log'!$L:$L,MATCH(ROW()-3,'Sales Log'!$Z:$Z,0)),""))</f>
        <v/>
      </c>
      <c r="C20" s="17" t="str">
        <f>IF(A20="","",IFERROR(INDEX('Sales Log'!$E:$E,MATCH(ROW()-3,'Sales Log'!$Z:$Z,0))&amp;" x "&amp;INDEX('Sales Log'!$F:$F,MATCH(ROW()-3,'Sales Log'!$Z:$Z,0))&amp;" pcs",""))</f>
        <v/>
      </c>
      <c r="D20" s="31" t="str">
        <f>IF(A20="","",IFERROR(INDEX('Sales Log'!$H:$H,MATCH(ROW()-3,'Sales Log'!$Z:$Z,0)),""))</f>
        <v/>
      </c>
      <c r="E20" s="29" t="str">
        <f ca="1">IF(N(F20)&lt;=0,"",IF(N(E20)=0,TODAY(),E20))</f>
        <v/>
      </c>
      <c r="F20" s="31"/>
      <c r="G20" s="31" t="str">
        <f>IF(D20="","",D20-IF(F20="",0,F20))</f>
        <v/>
      </c>
      <c r="H20" s="19" t="str">
        <f>IF(D20="","",IF(G20&lt;=0,"PAID",IF(F20&gt;0,"PARTIAL","UNPAID")))</f>
        <v/>
      </c>
    </row>
    <row r="21" spans="1:8" ht="15" customHeight="1" x14ac:dyDescent="0.2">
      <c r="A21" s="29" t="str">
        <f>IFERROR(INDEX('Sales Log'!$A:$A,MATCH(ROW()-3,'Sales Log'!$Z:$Z,0)),"")</f>
        <v/>
      </c>
      <c r="B21" s="17" t="str">
        <f>IF(A21="","",IFERROR(INDEX('Sales Log'!$L:$L,MATCH(ROW()-3,'Sales Log'!$Z:$Z,0)),""))</f>
        <v/>
      </c>
      <c r="C21" s="17" t="str">
        <f>IF(A21="","",IFERROR(INDEX('Sales Log'!$E:$E,MATCH(ROW()-3,'Sales Log'!$Z:$Z,0))&amp;" x "&amp;INDEX('Sales Log'!$F:$F,MATCH(ROW()-3,'Sales Log'!$Z:$Z,0))&amp;" pcs",""))</f>
        <v/>
      </c>
      <c r="D21" s="31" t="str">
        <f>IF(A21="","",IFERROR(INDEX('Sales Log'!$H:$H,MATCH(ROW()-3,'Sales Log'!$Z:$Z,0)),""))</f>
        <v/>
      </c>
      <c r="E21" s="29" t="str">
        <f ca="1">IF(N(F21)&lt;=0,"",IF(N(E21)=0,TODAY(),E21))</f>
        <v/>
      </c>
      <c r="F21" s="31"/>
      <c r="G21" s="31" t="str">
        <f>IF(D21="","",D21-IF(F21="",0,F21))</f>
        <v/>
      </c>
      <c r="H21" s="19" t="str">
        <f>IF(D21="","",IF(G21&lt;=0,"PAID",IF(F21&gt;0,"PARTIAL","UNPAID")))</f>
        <v/>
      </c>
    </row>
    <row r="22" spans="1:8" ht="15" customHeight="1" x14ac:dyDescent="0.2">
      <c r="A22" s="29" t="str">
        <f>IFERROR(INDEX('Sales Log'!$A:$A,MATCH(ROW()-3,'Sales Log'!$Z:$Z,0)),"")</f>
        <v/>
      </c>
      <c r="B22" s="17" t="str">
        <f>IF(A22="","",IFERROR(INDEX('Sales Log'!$L:$L,MATCH(ROW()-3,'Sales Log'!$Z:$Z,0)),""))</f>
        <v/>
      </c>
      <c r="C22" s="17" t="str">
        <f>IF(A22="","",IFERROR(INDEX('Sales Log'!$E:$E,MATCH(ROW()-3,'Sales Log'!$Z:$Z,0))&amp;" x "&amp;INDEX('Sales Log'!$F:$F,MATCH(ROW()-3,'Sales Log'!$Z:$Z,0))&amp;" pcs",""))</f>
        <v/>
      </c>
      <c r="D22" s="31" t="str">
        <f>IF(A22="","",IFERROR(INDEX('Sales Log'!$H:$H,MATCH(ROW()-3,'Sales Log'!$Z:$Z,0)),""))</f>
        <v/>
      </c>
      <c r="E22" s="29" t="str">
        <f ca="1">IF(N(F22)&lt;=0,"",IF(N(E22)=0,TODAY(),E22))</f>
        <v/>
      </c>
      <c r="F22" s="31"/>
      <c r="G22" s="31" t="str">
        <f>IF(D22="","",D22-IF(F22="",0,F22))</f>
        <v/>
      </c>
      <c r="H22" s="19" t="str">
        <f>IF(D22="","",IF(G22&lt;=0,"PAID",IF(F22&gt;0,"PARTIAL","UNPAID")))</f>
        <v/>
      </c>
    </row>
    <row r="23" spans="1:8" ht="15" customHeight="1" x14ac:dyDescent="0.2">
      <c r="A23" s="29" t="str">
        <f>IFERROR(INDEX('Sales Log'!$A:$A,MATCH(ROW()-3,'Sales Log'!$Z:$Z,0)),"")</f>
        <v/>
      </c>
      <c r="B23" s="17" t="str">
        <f>IF(A23="","",IFERROR(INDEX('Sales Log'!$L:$L,MATCH(ROW()-3,'Sales Log'!$Z:$Z,0)),""))</f>
        <v/>
      </c>
      <c r="C23" s="17" t="str">
        <f>IF(A23="","",IFERROR(INDEX('Sales Log'!$E:$E,MATCH(ROW()-3,'Sales Log'!$Z:$Z,0))&amp;" x "&amp;INDEX('Sales Log'!$F:$F,MATCH(ROW()-3,'Sales Log'!$Z:$Z,0))&amp;" pcs",""))</f>
        <v/>
      </c>
      <c r="D23" s="31" t="str">
        <f>IF(A23="","",IFERROR(INDEX('Sales Log'!$H:$H,MATCH(ROW()-3,'Sales Log'!$Z:$Z,0)),""))</f>
        <v/>
      </c>
      <c r="E23" s="29" t="str">
        <f ca="1">IF(N(F23)&lt;=0,"",IF(N(E23)=0,TODAY(),E23))</f>
        <v/>
      </c>
      <c r="F23" s="31"/>
      <c r="G23" s="31" t="str">
        <f>IF(D23="","",D23-IF(F23="",0,F23))</f>
        <v/>
      </c>
      <c r="H23" s="19" t="str">
        <f>IF(D23="","",IF(G23&lt;=0,"PAID",IF(F23&gt;0,"PARTIAL","UNPAID")))</f>
        <v/>
      </c>
    </row>
    <row r="24" spans="1:8" ht="15" customHeight="1" x14ac:dyDescent="0.2">
      <c r="A24" s="29" t="str">
        <f>IFERROR(INDEX('Sales Log'!$A:$A,MATCH(ROW()-3,'Sales Log'!$Z:$Z,0)),"")</f>
        <v/>
      </c>
      <c r="B24" s="17" t="str">
        <f>IF(A24="","",IFERROR(INDEX('Sales Log'!$L:$L,MATCH(ROW()-3,'Sales Log'!$Z:$Z,0)),""))</f>
        <v/>
      </c>
      <c r="C24" s="17" t="str">
        <f>IF(A24="","",IFERROR(INDEX('Sales Log'!$E:$E,MATCH(ROW()-3,'Sales Log'!$Z:$Z,0))&amp;" x "&amp;INDEX('Sales Log'!$F:$F,MATCH(ROW()-3,'Sales Log'!$Z:$Z,0))&amp;" pcs",""))</f>
        <v/>
      </c>
      <c r="D24" s="31" t="str">
        <f>IF(A24="","",IFERROR(INDEX('Sales Log'!$H:$H,MATCH(ROW()-3,'Sales Log'!$Z:$Z,0)),""))</f>
        <v/>
      </c>
      <c r="E24" s="29" t="str">
        <f ca="1">IF(N(F24)&lt;=0,"",IF(N(E24)=0,TODAY(),E24))</f>
        <v/>
      </c>
      <c r="F24" s="31"/>
      <c r="G24" s="31" t="str">
        <f>IF(D24="","",D24-IF(F24="",0,F24))</f>
        <v/>
      </c>
      <c r="H24" s="19" t="str">
        <f>IF(D24="","",IF(G24&lt;=0,"PAID",IF(F24&gt;0,"PARTIAL","UNPAID")))</f>
        <v/>
      </c>
    </row>
    <row r="25" spans="1:8" ht="15" customHeight="1" x14ac:dyDescent="0.2">
      <c r="A25" s="29" t="str">
        <f>IFERROR(INDEX('Sales Log'!$A:$A,MATCH(ROW()-3,'Sales Log'!$Z:$Z,0)),"")</f>
        <v/>
      </c>
      <c r="B25" s="17" t="str">
        <f>IF(A25="","",IFERROR(INDEX('Sales Log'!$L:$L,MATCH(ROW()-3,'Sales Log'!$Z:$Z,0)),""))</f>
        <v/>
      </c>
      <c r="C25" s="17" t="str">
        <f>IF(A25="","",IFERROR(INDEX('Sales Log'!$E:$E,MATCH(ROW()-3,'Sales Log'!$Z:$Z,0))&amp;" x "&amp;INDEX('Sales Log'!$F:$F,MATCH(ROW()-3,'Sales Log'!$Z:$Z,0))&amp;" pcs",""))</f>
        <v/>
      </c>
      <c r="D25" s="31" t="str">
        <f>IF(A25="","",IFERROR(INDEX('Sales Log'!$H:$H,MATCH(ROW()-3,'Sales Log'!$Z:$Z,0)),""))</f>
        <v/>
      </c>
      <c r="E25" s="29" t="str">
        <f ca="1">IF(N(F25)&lt;=0,"",IF(N(E25)=0,TODAY(),E25))</f>
        <v/>
      </c>
      <c r="F25" s="31"/>
      <c r="G25" s="31" t="str">
        <f>IF(D25="","",D25-IF(F25="",0,F25))</f>
        <v/>
      </c>
      <c r="H25" s="19" t="str">
        <f>IF(D25="","",IF(G25&lt;=0,"PAID",IF(F25&gt;0,"PARTIAL","UNPAID")))</f>
        <v/>
      </c>
    </row>
    <row r="26" spans="1:8" ht="15" customHeight="1" x14ac:dyDescent="0.2">
      <c r="A26" s="29" t="str">
        <f>IFERROR(INDEX('Sales Log'!$A:$A,MATCH(ROW()-3,'Sales Log'!$Z:$Z,0)),"")</f>
        <v/>
      </c>
      <c r="B26" s="17" t="str">
        <f>IF(A26="","",IFERROR(INDEX('Sales Log'!$L:$L,MATCH(ROW()-3,'Sales Log'!$Z:$Z,0)),""))</f>
        <v/>
      </c>
      <c r="C26" s="17" t="str">
        <f>IF(A26="","",IFERROR(INDEX('Sales Log'!$E:$E,MATCH(ROW()-3,'Sales Log'!$Z:$Z,0))&amp;" x "&amp;INDEX('Sales Log'!$F:$F,MATCH(ROW()-3,'Sales Log'!$Z:$Z,0))&amp;" pcs",""))</f>
        <v/>
      </c>
      <c r="D26" s="31" t="str">
        <f>IF(A26="","",IFERROR(INDEX('Sales Log'!$H:$H,MATCH(ROW()-3,'Sales Log'!$Z:$Z,0)),""))</f>
        <v/>
      </c>
      <c r="E26" s="29" t="str">
        <f ca="1">IF(N(F26)&lt;=0,"",IF(N(E26)=0,TODAY(),E26))</f>
        <v/>
      </c>
      <c r="F26" s="31"/>
      <c r="G26" s="31" t="str">
        <f>IF(D26="","",D26-IF(F26="",0,F26))</f>
        <v/>
      </c>
      <c r="H26" s="19" t="str">
        <f>IF(D26="","",IF(G26&lt;=0,"PAID",IF(F26&gt;0,"PARTIAL","UNPAID")))</f>
        <v/>
      </c>
    </row>
    <row r="27" spans="1:8" ht="15" customHeight="1" x14ac:dyDescent="0.2">
      <c r="A27" s="29" t="str">
        <f>IFERROR(INDEX('Sales Log'!$A:$A,MATCH(ROW()-3,'Sales Log'!$Z:$Z,0)),"")</f>
        <v/>
      </c>
      <c r="B27" s="17" t="str">
        <f>IF(A27="","",IFERROR(INDEX('Sales Log'!$L:$L,MATCH(ROW()-3,'Sales Log'!$Z:$Z,0)),""))</f>
        <v/>
      </c>
      <c r="C27" s="17" t="str">
        <f>IF(A27="","",IFERROR(INDEX('Sales Log'!$E:$E,MATCH(ROW()-3,'Sales Log'!$Z:$Z,0))&amp;" x "&amp;INDEX('Sales Log'!$F:$F,MATCH(ROW()-3,'Sales Log'!$Z:$Z,0))&amp;" pcs",""))</f>
        <v/>
      </c>
      <c r="D27" s="31" t="str">
        <f>IF(A27="","",IFERROR(INDEX('Sales Log'!$H:$H,MATCH(ROW()-3,'Sales Log'!$Z:$Z,0)),""))</f>
        <v/>
      </c>
      <c r="E27" s="29" t="str">
        <f ca="1">IF(N(F27)&lt;=0,"",IF(N(E27)=0,TODAY(),E27))</f>
        <v/>
      </c>
      <c r="F27" s="31"/>
      <c r="G27" s="31" t="str">
        <f>IF(D27="","",D27-IF(F27="",0,F27))</f>
        <v/>
      </c>
      <c r="H27" s="19" t="str">
        <f>IF(D27="","",IF(G27&lt;=0,"PAID",IF(F27&gt;0,"PARTIAL","UNPAID")))</f>
        <v/>
      </c>
    </row>
    <row r="28" spans="1:8" ht="15" customHeight="1" x14ac:dyDescent="0.2">
      <c r="A28" s="29" t="str">
        <f>IFERROR(INDEX('Sales Log'!$A:$A,MATCH(ROW()-3,'Sales Log'!$Z:$Z,0)),"")</f>
        <v/>
      </c>
      <c r="B28" s="17" t="str">
        <f>IF(A28="","",IFERROR(INDEX('Sales Log'!$L:$L,MATCH(ROW()-3,'Sales Log'!$Z:$Z,0)),""))</f>
        <v/>
      </c>
      <c r="C28" s="17" t="str">
        <f>IF(A28="","",IFERROR(INDEX('Sales Log'!$E:$E,MATCH(ROW()-3,'Sales Log'!$Z:$Z,0))&amp;" x "&amp;INDEX('Sales Log'!$F:$F,MATCH(ROW()-3,'Sales Log'!$Z:$Z,0))&amp;" pcs",""))</f>
        <v/>
      </c>
      <c r="D28" s="31" t="str">
        <f>IF(A28="","",IFERROR(INDEX('Sales Log'!$H:$H,MATCH(ROW()-3,'Sales Log'!$Z:$Z,0)),""))</f>
        <v/>
      </c>
      <c r="E28" s="29" t="str">
        <f ca="1">IF(N(F28)&lt;=0,"",IF(N(E28)=0,TODAY(),E28))</f>
        <v/>
      </c>
      <c r="F28" s="31"/>
      <c r="G28" s="31" t="str">
        <f>IF(D28="","",D28-IF(F28="",0,F28))</f>
        <v/>
      </c>
      <c r="H28" s="19" t="str">
        <f>IF(D28="","",IF(G28&lt;=0,"PAID",IF(F28&gt;0,"PARTIAL","UNPAID")))</f>
        <v/>
      </c>
    </row>
    <row r="29" spans="1:8" ht="15" customHeight="1" x14ac:dyDescent="0.2">
      <c r="A29" s="29" t="str">
        <f>IFERROR(INDEX('Sales Log'!$A:$A,MATCH(ROW()-3,'Sales Log'!$Z:$Z,0)),"")</f>
        <v/>
      </c>
      <c r="B29" s="17" t="str">
        <f>IF(A29="","",IFERROR(INDEX('Sales Log'!$L:$L,MATCH(ROW()-3,'Sales Log'!$Z:$Z,0)),""))</f>
        <v/>
      </c>
      <c r="C29" s="17" t="str">
        <f>IF(A29="","",IFERROR(INDEX('Sales Log'!$E:$E,MATCH(ROW()-3,'Sales Log'!$Z:$Z,0))&amp;" x "&amp;INDEX('Sales Log'!$F:$F,MATCH(ROW()-3,'Sales Log'!$Z:$Z,0))&amp;" pcs",""))</f>
        <v/>
      </c>
      <c r="D29" s="31" t="str">
        <f>IF(A29="","",IFERROR(INDEX('Sales Log'!$H:$H,MATCH(ROW()-3,'Sales Log'!$Z:$Z,0)),""))</f>
        <v/>
      </c>
      <c r="E29" s="29" t="str">
        <f ca="1">IF(N(F29)&lt;=0,"",IF(N(E29)=0,TODAY(),E29))</f>
        <v/>
      </c>
      <c r="F29" s="31"/>
      <c r="G29" s="31" t="str">
        <f>IF(D29="","",D29-IF(F29="",0,F29))</f>
        <v/>
      </c>
      <c r="H29" s="19" t="str">
        <f>IF(D29="","",IF(G29&lt;=0,"PAID",IF(F29&gt;0,"PARTIAL","UNPAID")))</f>
        <v/>
      </c>
    </row>
    <row r="30" spans="1:8" ht="15" customHeight="1" x14ac:dyDescent="0.2">
      <c r="A30" s="29" t="str">
        <f>IFERROR(INDEX('Sales Log'!$A:$A,MATCH(ROW()-3,'Sales Log'!$Z:$Z,0)),"")</f>
        <v/>
      </c>
      <c r="B30" s="17" t="str">
        <f>IF(A30="","",IFERROR(INDEX('Sales Log'!$L:$L,MATCH(ROW()-3,'Sales Log'!$Z:$Z,0)),""))</f>
        <v/>
      </c>
      <c r="C30" s="17" t="str">
        <f>IF(A30="","",IFERROR(INDEX('Sales Log'!$E:$E,MATCH(ROW()-3,'Sales Log'!$Z:$Z,0))&amp;" x "&amp;INDEX('Sales Log'!$F:$F,MATCH(ROW()-3,'Sales Log'!$Z:$Z,0))&amp;" pcs",""))</f>
        <v/>
      </c>
      <c r="D30" s="31" t="str">
        <f>IF(A30="","",IFERROR(INDEX('Sales Log'!$H:$H,MATCH(ROW()-3,'Sales Log'!$Z:$Z,0)),""))</f>
        <v/>
      </c>
      <c r="E30" s="29" t="str">
        <f ca="1">IF(N(F30)&lt;=0,"",IF(N(E30)=0,TODAY(),E30))</f>
        <v/>
      </c>
      <c r="F30" s="31"/>
      <c r="G30" s="31" t="str">
        <f>IF(D30="","",D30-IF(F30="",0,F30))</f>
        <v/>
      </c>
      <c r="H30" s="19" t="str">
        <f>IF(D30="","",IF(G30&lt;=0,"PAID",IF(F30&gt;0,"PARTIAL","UNPAID")))</f>
        <v/>
      </c>
    </row>
    <row r="31" spans="1:8" ht="15" customHeight="1" x14ac:dyDescent="0.2">
      <c r="A31" s="29" t="str">
        <f>IFERROR(INDEX('Sales Log'!$A:$A,MATCH(ROW()-3,'Sales Log'!$Z:$Z,0)),"")</f>
        <v/>
      </c>
      <c r="B31" s="17" t="str">
        <f>IF(A31="","",IFERROR(INDEX('Sales Log'!$L:$L,MATCH(ROW()-3,'Sales Log'!$Z:$Z,0)),""))</f>
        <v/>
      </c>
      <c r="C31" s="17" t="str">
        <f>IF(A31="","",IFERROR(INDEX('Sales Log'!$E:$E,MATCH(ROW()-3,'Sales Log'!$Z:$Z,0))&amp;" x "&amp;INDEX('Sales Log'!$F:$F,MATCH(ROW()-3,'Sales Log'!$Z:$Z,0))&amp;" pcs",""))</f>
        <v/>
      </c>
      <c r="D31" s="31" t="str">
        <f>IF(A31="","",IFERROR(INDEX('Sales Log'!$H:$H,MATCH(ROW()-3,'Sales Log'!$Z:$Z,0)),""))</f>
        <v/>
      </c>
      <c r="E31" s="29" t="str">
        <f ca="1">IF(N(F31)&lt;=0,"",IF(N(E31)=0,TODAY(),E31))</f>
        <v/>
      </c>
      <c r="F31" s="31"/>
      <c r="G31" s="31" t="str">
        <f>IF(D31="","",D31-IF(F31="",0,F31))</f>
        <v/>
      </c>
      <c r="H31" s="19" t="str">
        <f>IF(D31="","",IF(G31&lt;=0,"PAID",IF(F31&gt;0,"PARTIAL","UNPAID")))</f>
        <v/>
      </c>
    </row>
    <row r="32" spans="1:8" ht="15" customHeight="1" x14ac:dyDescent="0.2">
      <c r="A32" s="29" t="str">
        <f>IFERROR(INDEX('Sales Log'!$A:$A,MATCH(ROW()-3,'Sales Log'!$Z:$Z,0)),"")</f>
        <v/>
      </c>
      <c r="B32" s="17" t="str">
        <f>IF(A32="","",IFERROR(INDEX('Sales Log'!$L:$L,MATCH(ROW()-3,'Sales Log'!$Z:$Z,0)),""))</f>
        <v/>
      </c>
      <c r="C32" s="17" t="str">
        <f>IF(A32="","",IFERROR(INDEX('Sales Log'!$E:$E,MATCH(ROW()-3,'Sales Log'!$Z:$Z,0))&amp;" x "&amp;INDEX('Sales Log'!$F:$F,MATCH(ROW()-3,'Sales Log'!$Z:$Z,0))&amp;" pcs",""))</f>
        <v/>
      </c>
      <c r="D32" s="31" t="str">
        <f>IF(A32="","",IFERROR(INDEX('Sales Log'!$H:$H,MATCH(ROW()-3,'Sales Log'!$Z:$Z,0)),""))</f>
        <v/>
      </c>
      <c r="E32" s="29" t="str">
        <f ca="1">IF(N(F32)&lt;=0,"",IF(N(E32)=0,TODAY(),E32))</f>
        <v/>
      </c>
      <c r="F32" s="31"/>
      <c r="G32" s="31" t="str">
        <f>IF(D32="","",D32-IF(F32="",0,F32))</f>
        <v/>
      </c>
      <c r="H32" s="19" t="str">
        <f>IF(D32="","",IF(G32&lt;=0,"PAID",IF(F32&gt;0,"PARTIAL","UNPAID")))</f>
        <v/>
      </c>
    </row>
    <row r="33" spans="1:8" ht="15" customHeight="1" x14ac:dyDescent="0.2">
      <c r="A33" s="29" t="str">
        <f>IFERROR(INDEX('Sales Log'!$A:$A,MATCH(ROW()-3,'Sales Log'!$Z:$Z,0)),"")</f>
        <v/>
      </c>
      <c r="B33" s="17" t="str">
        <f>IF(A33="","",IFERROR(INDEX('Sales Log'!$L:$L,MATCH(ROW()-3,'Sales Log'!$Z:$Z,0)),""))</f>
        <v/>
      </c>
      <c r="C33" s="17" t="str">
        <f>IF(A33="","",IFERROR(INDEX('Sales Log'!$E:$E,MATCH(ROW()-3,'Sales Log'!$Z:$Z,0))&amp;" x "&amp;INDEX('Sales Log'!$F:$F,MATCH(ROW()-3,'Sales Log'!$Z:$Z,0))&amp;" pcs",""))</f>
        <v/>
      </c>
      <c r="D33" s="31" t="str">
        <f>IF(A33="","",IFERROR(INDEX('Sales Log'!$H:$H,MATCH(ROW()-3,'Sales Log'!$Z:$Z,0)),""))</f>
        <v/>
      </c>
      <c r="E33" s="29" t="str">
        <f ca="1">IF(N(F33)&lt;=0,"",IF(N(E33)=0,TODAY(),E33))</f>
        <v/>
      </c>
      <c r="F33" s="31"/>
      <c r="G33" s="31" t="str">
        <f>IF(D33="","",D33-IF(F33="",0,F33))</f>
        <v/>
      </c>
      <c r="H33" s="19" t="str">
        <f>IF(D33="","",IF(G33&lt;=0,"PAID",IF(F33&gt;0,"PARTIAL","UNPAID")))</f>
        <v/>
      </c>
    </row>
    <row r="34" spans="1:8" ht="15" customHeight="1" x14ac:dyDescent="0.2">
      <c r="A34" s="29" t="str">
        <f>IFERROR(INDEX('Sales Log'!$A:$A,MATCH(ROW()-3,'Sales Log'!$Z:$Z,0)),"")</f>
        <v/>
      </c>
      <c r="B34" s="17" t="str">
        <f>IF(A34="","",IFERROR(INDEX('Sales Log'!$L:$L,MATCH(ROW()-3,'Sales Log'!$Z:$Z,0)),""))</f>
        <v/>
      </c>
      <c r="C34" s="17" t="str">
        <f>IF(A34="","",IFERROR(INDEX('Sales Log'!$E:$E,MATCH(ROW()-3,'Sales Log'!$Z:$Z,0))&amp;" x "&amp;INDEX('Sales Log'!$F:$F,MATCH(ROW()-3,'Sales Log'!$Z:$Z,0))&amp;" pcs",""))</f>
        <v/>
      </c>
      <c r="D34" s="31" t="str">
        <f>IF(A34="","",IFERROR(INDEX('Sales Log'!$H:$H,MATCH(ROW()-3,'Sales Log'!$Z:$Z,0)),""))</f>
        <v/>
      </c>
      <c r="E34" s="29" t="str">
        <f ca="1">IF(N(F34)&lt;=0,"",IF(N(E34)=0,TODAY(),E34))</f>
        <v/>
      </c>
      <c r="F34" s="31"/>
      <c r="G34" s="31" t="str">
        <f>IF(D34="","",D34-IF(F34="",0,F34))</f>
        <v/>
      </c>
      <c r="H34" s="19" t="str">
        <f>IF(D34="","",IF(G34&lt;=0,"PAID",IF(F34&gt;0,"PARTIAL","UNPAID")))</f>
        <v/>
      </c>
    </row>
    <row r="35" spans="1:8" ht="15" customHeight="1" x14ac:dyDescent="0.2">
      <c r="A35" s="29" t="str">
        <f>IFERROR(INDEX('Sales Log'!$A:$A,MATCH(ROW()-3,'Sales Log'!$Z:$Z,0)),"")</f>
        <v/>
      </c>
      <c r="B35" s="17" t="str">
        <f>IF(A35="","",IFERROR(INDEX('Sales Log'!$L:$L,MATCH(ROW()-3,'Sales Log'!$Z:$Z,0)),""))</f>
        <v/>
      </c>
      <c r="C35" s="17" t="str">
        <f>IF(A35="","",IFERROR(INDEX('Sales Log'!$E:$E,MATCH(ROW()-3,'Sales Log'!$Z:$Z,0))&amp;" x "&amp;INDEX('Sales Log'!$F:$F,MATCH(ROW()-3,'Sales Log'!$Z:$Z,0))&amp;" pcs",""))</f>
        <v/>
      </c>
      <c r="D35" s="31" t="str">
        <f>IF(A35="","",IFERROR(INDEX('Sales Log'!$H:$H,MATCH(ROW()-3,'Sales Log'!$Z:$Z,0)),""))</f>
        <v/>
      </c>
      <c r="E35" s="29" t="str">
        <f ca="1">IF(N(F35)&lt;=0,"",IF(N(E35)=0,TODAY(),E35))</f>
        <v/>
      </c>
      <c r="F35" s="31"/>
      <c r="G35" s="31" t="str">
        <f>IF(D35="","",D35-IF(F35="",0,F35))</f>
        <v/>
      </c>
      <c r="H35" s="19" t="str">
        <f>IF(D35="","",IF(G35&lt;=0,"PAID",IF(F35&gt;0,"PARTIAL","UNPAID")))</f>
        <v/>
      </c>
    </row>
    <row r="36" spans="1:8" ht="15" customHeight="1" x14ac:dyDescent="0.2">
      <c r="A36" s="29" t="str">
        <f>IFERROR(INDEX('Sales Log'!$A:$A,MATCH(ROW()-3,'Sales Log'!$Z:$Z,0)),"")</f>
        <v/>
      </c>
      <c r="B36" s="17" t="str">
        <f>IF(A36="","",IFERROR(INDEX('Sales Log'!$L:$L,MATCH(ROW()-3,'Sales Log'!$Z:$Z,0)),""))</f>
        <v/>
      </c>
      <c r="C36" s="17" t="str">
        <f>IF(A36="","",IFERROR(INDEX('Sales Log'!$E:$E,MATCH(ROW()-3,'Sales Log'!$Z:$Z,0))&amp;" x "&amp;INDEX('Sales Log'!$F:$F,MATCH(ROW()-3,'Sales Log'!$Z:$Z,0))&amp;" pcs",""))</f>
        <v/>
      </c>
      <c r="D36" s="31" t="str">
        <f>IF(A36="","",IFERROR(INDEX('Sales Log'!$H:$H,MATCH(ROW()-3,'Sales Log'!$Z:$Z,0)),""))</f>
        <v/>
      </c>
      <c r="E36" s="29" t="str">
        <f ca="1">IF(N(F36)&lt;=0,"",IF(N(E36)=0,TODAY(),E36))</f>
        <v/>
      </c>
      <c r="F36" s="31"/>
      <c r="G36" s="31" t="str">
        <f>IF(D36="","",D36-IF(F36="",0,F36))</f>
        <v/>
      </c>
      <c r="H36" s="19" t="str">
        <f>IF(D36="","",IF(G36&lt;=0,"PAID",IF(F36&gt;0,"PARTIAL","UNPAID")))</f>
        <v/>
      </c>
    </row>
    <row r="37" spans="1:8" ht="15" customHeight="1" x14ac:dyDescent="0.2">
      <c r="A37" s="29" t="str">
        <f>IFERROR(INDEX('Sales Log'!$A:$A,MATCH(ROW()-3,'Sales Log'!$Z:$Z,0)),"")</f>
        <v/>
      </c>
      <c r="B37" s="17" t="str">
        <f>IF(A37="","",IFERROR(INDEX('Sales Log'!$L:$L,MATCH(ROW()-3,'Sales Log'!$Z:$Z,0)),""))</f>
        <v/>
      </c>
      <c r="C37" s="17" t="str">
        <f>IF(A37="","",IFERROR(INDEX('Sales Log'!$E:$E,MATCH(ROW()-3,'Sales Log'!$Z:$Z,0))&amp;" x "&amp;INDEX('Sales Log'!$F:$F,MATCH(ROW()-3,'Sales Log'!$Z:$Z,0))&amp;" pcs",""))</f>
        <v/>
      </c>
      <c r="D37" s="31" t="str">
        <f>IF(A37="","",IFERROR(INDEX('Sales Log'!$H:$H,MATCH(ROW()-3,'Sales Log'!$Z:$Z,0)),""))</f>
        <v/>
      </c>
      <c r="E37" s="29" t="str">
        <f ca="1">IF(N(F37)&lt;=0,"",IF(N(E37)=0,TODAY(),E37))</f>
        <v/>
      </c>
      <c r="F37" s="31"/>
      <c r="G37" s="31" t="str">
        <f>IF(D37="","",D37-IF(F37="",0,F37))</f>
        <v/>
      </c>
      <c r="H37" s="19" t="str">
        <f>IF(D37="","",IF(G37&lt;=0,"PAID",IF(F37&gt;0,"PARTIAL","UNPAID")))</f>
        <v/>
      </c>
    </row>
    <row r="38" spans="1:8" ht="15" customHeight="1" x14ac:dyDescent="0.2">
      <c r="A38" s="29" t="str">
        <f>IFERROR(INDEX('Sales Log'!$A:$A,MATCH(ROW()-3,'Sales Log'!$Z:$Z,0)),"")</f>
        <v/>
      </c>
      <c r="B38" s="17" t="str">
        <f>IF(A38="","",IFERROR(INDEX('Sales Log'!$L:$L,MATCH(ROW()-3,'Sales Log'!$Z:$Z,0)),""))</f>
        <v/>
      </c>
      <c r="C38" s="17" t="str">
        <f>IF(A38="","",IFERROR(INDEX('Sales Log'!$E:$E,MATCH(ROW()-3,'Sales Log'!$Z:$Z,0))&amp;" x "&amp;INDEX('Sales Log'!$F:$F,MATCH(ROW()-3,'Sales Log'!$Z:$Z,0))&amp;" pcs",""))</f>
        <v/>
      </c>
      <c r="D38" s="31" t="str">
        <f>IF(A38="","",IFERROR(INDEX('Sales Log'!$H:$H,MATCH(ROW()-3,'Sales Log'!$Z:$Z,0)),""))</f>
        <v/>
      </c>
      <c r="E38" s="29" t="str">
        <f ca="1">IF(N(F38)&lt;=0,"",IF(N(E38)=0,TODAY(),E38))</f>
        <v/>
      </c>
      <c r="F38" s="31"/>
      <c r="G38" s="31" t="str">
        <f>IF(D38="","",D38-IF(F38="",0,F38))</f>
        <v/>
      </c>
      <c r="H38" s="19" t="str">
        <f>IF(D38="","",IF(G38&lt;=0,"PAID",IF(F38&gt;0,"PARTIAL","UNPAID")))</f>
        <v/>
      </c>
    </row>
    <row r="39" spans="1:8" ht="15" customHeight="1" x14ac:dyDescent="0.2">
      <c r="A39" s="29" t="str">
        <f>IFERROR(INDEX('Sales Log'!$A:$A,MATCH(ROW()-3,'Sales Log'!$Z:$Z,0)),"")</f>
        <v/>
      </c>
      <c r="B39" s="17" t="str">
        <f>IF(A39="","",IFERROR(INDEX('Sales Log'!$L:$L,MATCH(ROW()-3,'Sales Log'!$Z:$Z,0)),""))</f>
        <v/>
      </c>
      <c r="C39" s="17" t="str">
        <f>IF(A39="","",IFERROR(INDEX('Sales Log'!$E:$E,MATCH(ROW()-3,'Sales Log'!$Z:$Z,0))&amp;" x "&amp;INDEX('Sales Log'!$F:$F,MATCH(ROW()-3,'Sales Log'!$Z:$Z,0))&amp;" pcs",""))</f>
        <v/>
      </c>
      <c r="D39" s="31" t="str">
        <f>IF(A39="","",IFERROR(INDEX('Sales Log'!$H:$H,MATCH(ROW()-3,'Sales Log'!$Z:$Z,0)),""))</f>
        <v/>
      </c>
      <c r="E39" s="29" t="str">
        <f ca="1">IF(N(F39)&lt;=0,"",IF(N(E39)=0,TODAY(),E39))</f>
        <v/>
      </c>
      <c r="F39" s="31"/>
      <c r="G39" s="31" t="str">
        <f>IF(D39="","",D39-IF(F39="",0,F39))</f>
        <v/>
      </c>
      <c r="H39" s="19" t="str">
        <f>IF(D39="","",IF(G39&lt;=0,"PAID",IF(F39&gt;0,"PARTIAL","UNPAID")))</f>
        <v/>
      </c>
    </row>
    <row r="40" spans="1:8" ht="15" customHeight="1" x14ac:dyDescent="0.2">
      <c r="A40" s="29" t="str">
        <f>IFERROR(INDEX('Sales Log'!$A:$A,MATCH(ROW()-3,'Sales Log'!$Z:$Z,0)),"")</f>
        <v/>
      </c>
      <c r="B40" s="17" t="str">
        <f>IF(A40="","",IFERROR(INDEX('Sales Log'!$L:$L,MATCH(ROW()-3,'Sales Log'!$Z:$Z,0)),""))</f>
        <v/>
      </c>
      <c r="C40" s="17" t="str">
        <f>IF(A40="","",IFERROR(INDEX('Sales Log'!$E:$E,MATCH(ROW()-3,'Sales Log'!$Z:$Z,0))&amp;" x "&amp;INDEX('Sales Log'!$F:$F,MATCH(ROW()-3,'Sales Log'!$Z:$Z,0))&amp;" pcs",""))</f>
        <v/>
      </c>
      <c r="D40" s="31" t="str">
        <f>IF(A40="","",IFERROR(INDEX('Sales Log'!$H:$H,MATCH(ROW()-3,'Sales Log'!$Z:$Z,0)),""))</f>
        <v/>
      </c>
      <c r="E40" s="29" t="str">
        <f ca="1">IF(N(F40)&lt;=0,"",IF(N(E40)=0,TODAY(),E40))</f>
        <v/>
      </c>
      <c r="F40" s="31"/>
      <c r="G40" s="31" t="str">
        <f>IF(D40="","",D40-IF(F40="",0,F40))</f>
        <v/>
      </c>
      <c r="H40" s="19" t="str">
        <f>IF(D40="","",IF(G40&lt;=0,"PAID",IF(F40&gt;0,"PARTIAL","UNPAID")))</f>
        <v/>
      </c>
    </row>
    <row r="41" spans="1:8" ht="15" customHeight="1" x14ac:dyDescent="0.2">
      <c r="A41" s="29" t="str">
        <f>IFERROR(INDEX('Sales Log'!$A:$A,MATCH(ROW()-3,'Sales Log'!$Z:$Z,0)),"")</f>
        <v/>
      </c>
      <c r="B41" s="17" t="str">
        <f>IF(A41="","",IFERROR(INDEX('Sales Log'!$L:$L,MATCH(ROW()-3,'Sales Log'!$Z:$Z,0)),""))</f>
        <v/>
      </c>
      <c r="C41" s="17" t="str">
        <f>IF(A41="","",IFERROR(INDEX('Sales Log'!$E:$E,MATCH(ROW()-3,'Sales Log'!$Z:$Z,0))&amp;" x "&amp;INDEX('Sales Log'!$F:$F,MATCH(ROW()-3,'Sales Log'!$Z:$Z,0))&amp;" pcs",""))</f>
        <v/>
      </c>
      <c r="D41" s="31" t="str">
        <f>IF(A41="","",IFERROR(INDEX('Sales Log'!$H:$H,MATCH(ROW()-3,'Sales Log'!$Z:$Z,0)),""))</f>
        <v/>
      </c>
      <c r="E41" s="29" t="str">
        <f ca="1">IF(N(F41)&lt;=0,"",IF(N(E41)=0,TODAY(),E41))</f>
        <v/>
      </c>
      <c r="F41" s="31"/>
      <c r="G41" s="31" t="str">
        <f>IF(D41="","",D41-IF(F41="",0,F41))</f>
        <v/>
      </c>
      <c r="H41" s="19" t="str">
        <f>IF(D41="","",IF(G41&lt;=0,"PAID",IF(F41&gt;0,"PARTIAL","UNPAID")))</f>
        <v/>
      </c>
    </row>
    <row r="42" spans="1:8" ht="15" customHeight="1" x14ac:dyDescent="0.2">
      <c r="A42" s="29" t="str">
        <f>IFERROR(INDEX('Sales Log'!$A:$A,MATCH(ROW()-3,'Sales Log'!$Z:$Z,0)),"")</f>
        <v/>
      </c>
      <c r="B42" s="17" t="str">
        <f>IF(A42="","",IFERROR(INDEX('Sales Log'!$L:$L,MATCH(ROW()-3,'Sales Log'!$Z:$Z,0)),""))</f>
        <v/>
      </c>
      <c r="C42" s="17" t="str">
        <f>IF(A42="","",IFERROR(INDEX('Sales Log'!$E:$E,MATCH(ROW()-3,'Sales Log'!$Z:$Z,0))&amp;" x "&amp;INDEX('Sales Log'!$F:$F,MATCH(ROW()-3,'Sales Log'!$Z:$Z,0))&amp;" pcs",""))</f>
        <v/>
      </c>
      <c r="D42" s="31" t="str">
        <f>IF(A42="","",IFERROR(INDEX('Sales Log'!$H:$H,MATCH(ROW()-3,'Sales Log'!$Z:$Z,0)),""))</f>
        <v/>
      </c>
      <c r="E42" s="29" t="str">
        <f ca="1">IF(N(F42)&lt;=0,"",IF(N(E42)=0,TODAY(),E42))</f>
        <v/>
      </c>
      <c r="F42" s="31"/>
      <c r="G42" s="31" t="str">
        <f>IF(D42="","",D42-IF(F42="",0,F42))</f>
        <v/>
      </c>
      <c r="H42" s="19" t="str">
        <f>IF(D42="","",IF(G42&lt;=0,"PAID",IF(F42&gt;0,"PARTIAL","UNPAID")))</f>
        <v/>
      </c>
    </row>
    <row r="43" spans="1:8" ht="15" customHeight="1" x14ac:dyDescent="0.2">
      <c r="A43" s="29" t="str">
        <f>IFERROR(INDEX('Sales Log'!$A:$A,MATCH(ROW()-3,'Sales Log'!$Z:$Z,0)),"")</f>
        <v/>
      </c>
      <c r="B43" s="17" t="str">
        <f>IF(A43="","",IFERROR(INDEX('Sales Log'!$L:$L,MATCH(ROW()-3,'Sales Log'!$Z:$Z,0)),""))</f>
        <v/>
      </c>
      <c r="C43" s="17" t="str">
        <f>IF(A43="","",IFERROR(INDEX('Sales Log'!$E:$E,MATCH(ROW()-3,'Sales Log'!$Z:$Z,0))&amp;" x "&amp;INDEX('Sales Log'!$F:$F,MATCH(ROW()-3,'Sales Log'!$Z:$Z,0))&amp;" pcs",""))</f>
        <v/>
      </c>
      <c r="D43" s="31" t="str">
        <f>IF(A43="","",IFERROR(INDEX('Sales Log'!$H:$H,MATCH(ROW()-3,'Sales Log'!$Z:$Z,0)),""))</f>
        <v/>
      </c>
      <c r="E43" s="29" t="str">
        <f ca="1">IF(N(F43)&lt;=0,"",IF(N(E43)=0,TODAY(),E43))</f>
        <v/>
      </c>
      <c r="F43" s="31"/>
      <c r="G43" s="31" t="str">
        <f>IF(D43="","",D43-IF(F43="",0,F43))</f>
        <v/>
      </c>
      <c r="H43" s="19" t="str">
        <f>IF(D43="","",IF(G43&lt;=0,"PAID",IF(F43&gt;0,"PARTIAL","UNPAID")))</f>
        <v/>
      </c>
    </row>
    <row r="44" spans="1:8" ht="15" customHeight="1" x14ac:dyDescent="0.2">
      <c r="A44" s="29" t="str">
        <f>IFERROR(INDEX('Sales Log'!$A:$A,MATCH(ROW()-3,'Sales Log'!$Z:$Z,0)),"")</f>
        <v/>
      </c>
      <c r="B44" s="17" t="str">
        <f>IF(A44="","",IFERROR(INDEX('Sales Log'!$L:$L,MATCH(ROW()-3,'Sales Log'!$Z:$Z,0)),""))</f>
        <v/>
      </c>
      <c r="C44" s="17" t="str">
        <f>IF(A44="","",IFERROR(INDEX('Sales Log'!$E:$E,MATCH(ROW()-3,'Sales Log'!$Z:$Z,0))&amp;" x "&amp;INDEX('Sales Log'!$F:$F,MATCH(ROW()-3,'Sales Log'!$Z:$Z,0))&amp;" pcs",""))</f>
        <v/>
      </c>
      <c r="D44" s="31" t="str">
        <f>IF(A44="","",IFERROR(INDEX('Sales Log'!$H:$H,MATCH(ROW()-3,'Sales Log'!$Z:$Z,0)),""))</f>
        <v/>
      </c>
      <c r="E44" s="29" t="str">
        <f ca="1">IF(N(F44)&lt;=0,"",IF(N(E44)=0,TODAY(),E44))</f>
        <v/>
      </c>
      <c r="F44" s="31"/>
      <c r="G44" s="31" t="str">
        <f>IF(D44="","",D44-IF(F44="",0,F44))</f>
        <v/>
      </c>
      <c r="H44" s="19" t="str">
        <f>IF(D44="","",IF(G44&lt;=0,"PAID",IF(F44&gt;0,"PARTIAL","UNPAID")))</f>
        <v/>
      </c>
    </row>
    <row r="45" spans="1:8" ht="15" customHeight="1" x14ac:dyDescent="0.2">
      <c r="A45" s="29" t="str">
        <f>IFERROR(INDEX('Sales Log'!$A:$A,MATCH(ROW()-3,'Sales Log'!$Z:$Z,0)),"")</f>
        <v/>
      </c>
      <c r="B45" s="17" t="str">
        <f>IF(A45="","",IFERROR(INDEX('Sales Log'!$L:$L,MATCH(ROW()-3,'Sales Log'!$Z:$Z,0)),""))</f>
        <v/>
      </c>
      <c r="C45" s="17" t="str">
        <f>IF(A45="","",IFERROR(INDEX('Sales Log'!$E:$E,MATCH(ROW()-3,'Sales Log'!$Z:$Z,0))&amp;" x "&amp;INDEX('Sales Log'!$F:$F,MATCH(ROW()-3,'Sales Log'!$Z:$Z,0))&amp;" pcs",""))</f>
        <v/>
      </c>
      <c r="D45" s="31" t="str">
        <f>IF(A45="","",IFERROR(INDEX('Sales Log'!$H:$H,MATCH(ROW()-3,'Sales Log'!$Z:$Z,0)),""))</f>
        <v/>
      </c>
      <c r="E45" s="29" t="str">
        <f ca="1">IF(N(F45)&lt;=0,"",IF(N(E45)=0,TODAY(),E45))</f>
        <v/>
      </c>
      <c r="F45" s="31"/>
      <c r="G45" s="31" t="str">
        <f>IF(D45="","",D45-IF(F45="",0,F45))</f>
        <v/>
      </c>
      <c r="H45" s="19" t="str">
        <f>IF(D45="","",IF(G45&lt;=0,"PAID",IF(F45&gt;0,"PARTIAL","UNPAID")))</f>
        <v/>
      </c>
    </row>
    <row r="46" spans="1:8" ht="15" customHeight="1" x14ac:dyDescent="0.2">
      <c r="A46" s="29" t="str">
        <f>IFERROR(INDEX('Sales Log'!$A:$A,MATCH(ROW()-3,'Sales Log'!$Z:$Z,0)),"")</f>
        <v/>
      </c>
      <c r="B46" s="17" t="str">
        <f>IF(A46="","",IFERROR(INDEX('Sales Log'!$L:$L,MATCH(ROW()-3,'Sales Log'!$Z:$Z,0)),""))</f>
        <v/>
      </c>
      <c r="C46" s="17" t="str">
        <f>IF(A46="","",IFERROR(INDEX('Sales Log'!$E:$E,MATCH(ROW()-3,'Sales Log'!$Z:$Z,0))&amp;" x "&amp;INDEX('Sales Log'!$F:$F,MATCH(ROW()-3,'Sales Log'!$Z:$Z,0))&amp;" pcs",""))</f>
        <v/>
      </c>
      <c r="D46" s="31" t="str">
        <f>IF(A46="","",IFERROR(INDEX('Sales Log'!$H:$H,MATCH(ROW()-3,'Sales Log'!$Z:$Z,0)),""))</f>
        <v/>
      </c>
      <c r="E46" s="29" t="str">
        <f ca="1">IF(N(F46)&lt;=0,"",IF(N(E46)=0,TODAY(),E46))</f>
        <v/>
      </c>
      <c r="F46" s="31"/>
      <c r="G46" s="31" t="str">
        <f>IF(D46="","",D46-IF(F46="",0,F46))</f>
        <v/>
      </c>
      <c r="H46" s="19" t="str">
        <f>IF(D46="","",IF(G46&lt;=0,"PAID",IF(F46&gt;0,"PARTIAL","UNPAID")))</f>
        <v/>
      </c>
    </row>
    <row r="47" spans="1:8" ht="15" customHeight="1" x14ac:dyDescent="0.2">
      <c r="A47" s="29" t="str">
        <f>IFERROR(INDEX('Sales Log'!$A:$A,MATCH(ROW()-3,'Sales Log'!$Z:$Z,0)),"")</f>
        <v/>
      </c>
      <c r="B47" s="17" t="str">
        <f>IF(A47="","",IFERROR(INDEX('Sales Log'!$L:$L,MATCH(ROW()-3,'Sales Log'!$Z:$Z,0)),""))</f>
        <v/>
      </c>
      <c r="C47" s="17" t="str">
        <f>IF(A47="","",IFERROR(INDEX('Sales Log'!$E:$E,MATCH(ROW()-3,'Sales Log'!$Z:$Z,0))&amp;" x "&amp;INDEX('Sales Log'!$F:$F,MATCH(ROW()-3,'Sales Log'!$Z:$Z,0))&amp;" pcs",""))</f>
        <v/>
      </c>
      <c r="D47" s="31" t="str">
        <f>IF(A47="","",IFERROR(INDEX('Sales Log'!$H:$H,MATCH(ROW()-3,'Sales Log'!$Z:$Z,0)),""))</f>
        <v/>
      </c>
      <c r="E47" s="29" t="str">
        <f ca="1">IF(N(F47)&lt;=0,"",IF(N(E47)=0,TODAY(),E47))</f>
        <v/>
      </c>
      <c r="F47" s="31"/>
      <c r="G47" s="31" t="str">
        <f>IF(D47="","",D47-IF(F47="",0,F47))</f>
        <v/>
      </c>
      <c r="H47" s="19" t="str">
        <f>IF(D47="","",IF(G47&lt;=0,"PAID",IF(F47&gt;0,"PARTIAL","UNPAID")))</f>
        <v/>
      </c>
    </row>
    <row r="48" spans="1:8" ht="15" customHeight="1" x14ac:dyDescent="0.2">
      <c r="A48" s="29" t="str">
        <f>IFERROR(INDEX('Sales Log'!$A:$A,MATCH(ROW()-3,'Sales Log'!$Z:$Z,0)),"")</f>
        <v/>
      </c>
      <c r="B48" s="17" t="str">
        <f>IF(A48="","",IFERROR(INDEX('Sales Log'!$L:$L,MATCH(ROW()-3,'Sales Log'!$Z:$Z,0)),""))</f>
        <v/>
      </c>
      <c r="C48" s="17" t="str">
        <f>IF(A48="","",IFERROR(INDEX('Sales Log'!$E:$E,MATCH(ROW()-3,'Sales Log'!$Z:$Z,0))&amp;" x "&amp;INDEX('Sales Log'!$F:$F,MATCH(ROW()-3,'Sales Log'!$Z:$Z,0))&amp;" pcs",""))</f>
        <v/>
      </c>
      <c r="D48" s="31" t="str">
        <f>IF(A48="","",IFERROR(INDEX('Sales Log'!$H:$H,MATCH(ROW()-3,'Sales Log'!$Z:$Z,0)),""))</f>
        <v/>
      </c>
      <c r="E48" s="29" t="str">
        <f ca="1">IF(N(F48)&lt;=0,"",IF(N(E48)=0,TODAY(),E48))</f>
        <v/>
      </c>
      <c r="F48" s="31"/>
      <c r="G48" s="31" t="str">
        <f>IF(D48="","",D48-IF(F48="",0,F48))</f>
        <v/>
      </c>
      <c r="H48" s="19" t="str">
        <f>IF(D48="","",IF(G48&lt;=0,"PAID",IF(F48&gt;0,"PARTIAL","UNPAID")))</f>
        <v/>
      </c>
    </row>
    <row r="49" spans="1:8" ht="15" customHeight="1" x14ac:dyDescent="0.2">
      <c r="A49" s="29" t="str">
        <f>IFERROR(INDEX('Sales Log'!$A:$A,MATCH(ROW()-3,'Sales Log'!$Z:$Z,0)),"")</f>
        <v/>
      </c>
      <c r="B49" s="17" t="str">
        <f>IF(A49="","",IFERROR(INDEX('Sales Log'!$L:$L,MATCH(ROW()-3,'Sales Log'!$Z:$Z,0)),""))</f>
        <v/>
      </c>
      <c r="C49" s="17" t="str">
        <f>IF(A49="","",IFERROR(INDEX('Sales Log'!$E:$E,MATCH(ROW()-3,'Sales Log'!$Z:$Z,0))&amp;" x "&amp;INDEX('Sales Log'!$F:$F,MATCH(ROW()-3,'Sales Log'!$Z:$Z,0))&amp;" pcs",""))</f>
        <v/>
      </c>
      <c r="D49" s="31" t="str">
        <f>IF(A49="","",IFERROR(INDEX('Sales Log'!$H:$H,MATCH(ROW()-3,'Sales Log'!$Z:$Z,0)),""))</f>
        <v/>
      </c>
      <c r="E49" s="29" t="str">
        <f ca="1">IF(N(F49)&lt;=0,"",IF(N(E49)=0,TODAY(),E49))</f>
        <v/>
      </c>
      <c r="F49" s="31"/>
      <c r="G49" s="31" t="str">
        <f>IF(D49="","",D49-IF(F49="",0,F49))</f>
        <v/>
      </c>
      <c r="H49" s="19" t="str">
        <f>IF(D49="","",IF(G49&lt;=0,"PAID",IF(F49&gt;0,"PARTIAL","UNPAID")))</f>
        <v/>
      </c>
    </row>
    <row r="50" spans="1:8" ht="15" customHeight="1" x14ac:dyDescent="0.2">
      <c r="A50" s="29" t="str">
        <f>IFERROR(INDEX('Sales Log'!$A:$A,MATCH(ROW()-3,'Sales Log'!$Z:$Z,0)),"")</f>
        <v/>
      </c>
      <c r="B50" s="17" t="str">
        <f>IF(A50="","",IFERROR(INDEX('Sales Log'!$L:$L,MATCH(ROW()-3,'Sales Log'!$Z:$Z,0)),""))</f>
        <v/>
      </c>
      <c r="C50" s="17" t="str">
        <f>IF(A50="","",IFERROR(INDEX('Sales Log'!$E:$E,MATCH(ROW()-3,'Sales Log'!$Z:$Z,0))&amp;" x "&amp;INDEX('Sales Log'!$F:$F,MATCH(ROW()-3,'Sales Log'!$Z:$Z,0))&amp;" pcs",""))</f>
        <v/>
      </c>
      <c r="D50" s="31" t="str">
        <f>IF(A50="","",IFERROR(INDEX('Sales Log'!$H:$H,MATCH(ROW()-3,'Sales Log'!$Z:$Z,0)),""))</f>
        <v/>
      </c>
      <c r="E50" s="29" t="str">
        <f ca="1">IF(N(F50)&lt;=0,"",IF(N(E50)=0,TODAY(),E50))</f>
        <v/>
      </c>
      <c r="F50" s="31"/>
      <c r="G50" s="31" t="str">
        <f>IF(D50="","",D50-IF(F50="",0,F50))</f>
        <v/>
      </c>
      <c r="H50" s="19" t="str">
        <f>IF(D50="","",IF(G50&lt;=0,"PAID",IF(F50&gt;0,"PARTIAL","UNPAID")))</f>
        <v/>
      </c>
    </row>
    <row r="51" spans="1:8" ht="15" customHeight="1" x14ac:dyDescent="0.2">
      <c r="A51" s="29" t="str">
        <f>IFERROR(INDEX('Sales Log'!$A:$A,MATCH(ROW()-3,'Sales Log'!$Z:$Z,0)),"")</f>
        <v/>
      </c>
      <c r="B51" s="17" t="str">
        <f>IF(A51="","",IFERROR(INDEX('Sales Log'!$L:$L,MATCH(ROW()-3,'Sales Log'!$Z:$Z,0)),""))</f>
        <v/>
      </c>
      <c r="C51" s="17" t="str">
        <f>IF(A51="","",IFERROR(INDEX('Sales Log'!$E:$E,MATCH(ROW()-3,'Sales Log'!$Z:$Z,0))&amp;" x "&amp;INDEX('Sales Log'!$F:$F,MATCH(ROW()-3,'Sales Log'!$Z:$Z,0))&amp;" pcs",""))</f>
        <v/>
      </c>
      <c r="D51" s="31" t="str">
        <f>IF(A51="","",IFERROR(INDEX('Sales Log'!$H:$H,MATCH(ROW()-3,'Sales Log'!$Z:$Z,0)),""))</f>
        <v/>
      </c>
      <c r="E51" s="29" t="str">
        <f ca="1">IF(N(F51)&lt;=0,"",IF(N(E51)=0,TODAY(),E51))</f>
        <v/>
      </c>
      <c r="F51" s="31"/>
      <c r="G51" s="31" t="str">
        <f>IF(D51="","",D51-IF(F51="",0,F51))</f>
        <v/>
      </c>
      <c r="H51" s="19" t="str">
        <f>IF(D51="","",IF(G51&lt;=0,"PAID",IF(F51&gt;0,"PARTIAL","UNPAID")))</f>
        <v/>
      </c>
    </row>
    <row r="52" spans="1:8" ht="15" customHeight="1" x14ac:dyDescent="0.2">
      <c r="A52" s="29" t="str">
        <f>IFERROR(INDEX('Sales Log'!$A:$A,MATCH(ROW()-3,'Sales Log'!$Z:$Z,0)),"")</f>
        <v/>
      </c>
      <c r="B52" s="17" t="str">
        <f>IF(A52="","",IFERROR(INDEX('Sales Log'!$L:$L,MATCH(ROW()-3,'Sales Log'!$Z:$Z,0)),""))</f>
        <v/>
      </c>
      <c r="C52" s="17" t="str">
        <f>IF(A52="","",IFERROR(INDEX('Sales Log'!$E:$E,MATCH(ROW()-3,'Sales Log'!$Z:$Z,0))&amp;" x "&amp;INDEX('Sales Log'!$F:$F,MATCH(ROW()-3,'Sales Log'!$Z:$Z,0))&amp;" pcs",""))</f>
        <v/>
      </c>
      <c r="D52" s="31" t="str">
        <f>IF(A52="","",IFERROR(INDEX('Sales Log'!$H:$H,MATCH(ROW()-3,'Sales Log'!$Z:$Z,0)),""))</f>
        <v/>
      </c>
      <c r="E52" s="29" t="str">
        <f ca="1">IF(N(F52)&lt;=0,"",IF(N(E52)=0,TODAY(),E52))</f>
        <v/>
      </c>
      <c r="F52" s="31"/>
      <c r="G52" s="31" t="str">
        <f>IF(D52="","",D52-IF(F52="",0,F52))</f>
        <v/>
      </c>
      <c r="H52" s="19" t="str">
        <f>IF(D52="","",IF(G52&lt;=0,"PAID",IF(F52&gt;0,"PARTIAL","UNPAID")))</f>
        <v/>
      </c>
    </row>
    <row r="53" spans="1:8" ht="15" customHeight="1" x14ac:dyDescent="0.2">
      <c r="A53" s="29" t="str">
        <f>IFERROR(INDEX('Sales Log'!$A:$A,MATCH(ROW()-3,'Sales Log'!$Z:$Z,0)),"")</f>
        <v/>
      </c>
      <c r="B53" s="17" t="str">
        <f>IF(A53="","",IFERROR(INDEX('Sales Log'!$L:$L,MATCH(ROW()-3,'Sales Log'!$Z:$Z,0)),""))</f>
        <v/>
      </c>
      <c r="C53" s="17" t="str">
        <f>IF(A53="","",IFERROR(INDEX('Sales Log'!$E:$E,MATCH(ROW()-3,'Sales Log'!$Z:$Z,0))&amp;" x "&amp;INDEX('Sales Log'!$F:$F,MATCH(ROW()-3,'Sales Log'!$Z:$Z,0))&amp;" pcs",""))</f>
        <v/>
      </c>
      <c r="D53" s="31" t="str">
        <f>IF(A53="","",IFERROR(INDEX('Sales Log'!$H:$H,MATCH(ROW()-3,'Sales Log'!$Z:$Z,0)),""))</f>
        <v/>
      </c>
      <c r="E53" s="29" t="str">
        <f ca="1">IF(N(F53)&lt;=0,"",IF(N(E53)=0,TODAY(),E53))</f>
        <v/>
      </c>
      <c r="F53" s="31"/>
      <c r="G53" s="31" t="str">
        <f>IF(D53="","",D53-IF(F53="",0,F53))</f>
        <v/>
      </c>
      <c r="H53" s="19" t="str">
        <f>IF(D53="","",IF(G53&lt;=0,"PAID",IF(F53&gt;0,"PARTIAL","UNPAID")))</f>
        <v/>
      </c>
    </row>
    <row r="54" spans="1:8" ht="15" customHeight="1" x14ac:dyDescent="0.2">
      <c r="A54" s="29" t="str">
        <f>IFERROR(INDEX('Sales Log'!$A:$A,MATCH(ROW()-3,'Sales Log'!$Z:$Z,0)),"")</f>
        <v/>
      </c>
      <c r="B54" s="17" t="str">
        <f>IF(A54="","",IFERROR(INDEX('Sales Log'!$L:$L,MATCH(ROW()-3,'Sales Log'!$Z:$Z,0)),""))</f>
        <v/>
      </c>
      <c r="C54" s="17" t="str">
        <f>IF(A54="","",IFERROR(INDEX('Sales Log'!$E:$E,MATCH(ROW()-3,'Sales Log'!$Z:$Z,0))&amp;" x "&amp;INDEX('Sales Log'!$F:$F,MATCH(ROW()-3,'Sales Log'!$Z:$Z,0))&amp;" pcs",""))</f>
        <v/>
      </c>
      <c r="D54" s="31" t="str">
        <f>IF(A54="","",IFERROR(INDEX('Sales Log'!$H:$H,MATCH(ROW()-3,'Sales Log'!$Z:$Z,0)),""))</f>
        <v/>
      </c>
      <c r="E54" s="29" t="str">
        <f ca="1">IF(N(F54)&lt;=0,"",IF(N(E54)=0,TODAY(),E54))</f>
        <v/>
      </c>
      <c r="F54" s="31"/>
      <c r="G54" s="31" t="str">
        <f>IF(D54="","",D54-IF(F54="",0,F54))</f>
        <v/>
      </c>
      <c r="H54" s="19" t="str">
        <f>IF(D54="","",IF(G54&lt;=0,"PAID",IF(F54&gt;0,"PARTIAL","UNPAID")))</f>
        <v/>
      </c>
    </row>
    <row r="55" spans="1:8" ht="15" customHeight="1" x14ac:dyDescent="0.2">
      <c r="A55" s="29" t="str">
        <f>IFERROR(INDEX('Sales Log'!$A:$A,MATCH(ROW()-3,'Sales Log'!$Z:$Z,0)),"")</f>
        <v/>
      </c>
      <c r="B55" s="17" t="str">
        <f>IF(A55="","",IFERROR(INDEX('Sales Log'!$L:$L,MATCH(ROW()-3,'Sales Log'!$Z:$Z,0)),""))</f>
        <v/>
      </c>
      <c r="C55" s="17" t="str">
        <f>IF(A55="","",IFERROR(INDEX('Sales Log'!$E:$E,MATCH(ROW()-3,'Sales Log'!$Z:$Z,0))&amp;" x "&amp;INDEX('Sales Log'!$F:$F,MATCH(ROW()-3,'Sales Log'!$Z:$Z,0))&amp;" pcs",""))</f>
        <v/>
      </c>
      <c r="D55" s="31" t="str">
        <f>IF(A55="","",IFERROR(INDEX('Sales Log'!$H:$H,MATCH(ROW()-3,'Sales Log'!$Z:$Z,0)),""))</f>
        <v/>
      </c>
      <c r="E55" s="29" t="str">
        <f ca="1">IF(N(F55)&lt;=0,"",IF(N(E55)=0,TODAY(),E55))</f>
        <v/>
      </c>
      <c r="F55" s="31"/>
      <c r="G55" s="31" t="str">
        <f>IF(D55="","",D55-IF(F55="",0,F55))</f>
        <v/>
      </c>
      <c r="H55" s="19" t="str">
        <f>IF(D55="","",IF(G55&lt;=0,"PAID",IF(F55&gt;0,"PARTIAL","UNPAID")))</f>
        <v/>
      </c>
    </row>
    <row r="56" spans="1:8" ht="15" customHeight="1" x14ac:dyDescent="0.2">
      <c r="A56" s="29" t="str">
        <f>IFERROR(INDEX('Sales Log'!$A:$A,MATCH(ROW()-3,'Sales Log'!$Z:$Z,0)),"")</f>
        <v/>
      </c>
      <c r="B56" s="17" t="str">
        <f>IF(A56="","",IFERROR(INDEX('Sales Log'!$L:$L,MATCH(ROW()-3,'Sales Log'!$Z:$Z,0)),""))</f>
        <v/>
      </c>
      <c r="C56" s="17" t="str">
        <f>IF(A56="","",IFERROR(INDEX('Sales Log'!$E:$E,MATCH(ROW()-3,'Sales Log'!$Z:$Z,0))&amp;" x "&amp;INDEX('Sales Log'!$F:$F,MATCH(ROW()-3,'Sales Log'!$Z:$Z,0))&amp;" pcs",""))</f>
        <v/>
      </c>
      <c r="D56" s="31" t="str">
        <f>IF(A56="","",IFERROR(INDEX('Sales Log'!$H:$H,MATCH(ROW()-3,'Sales Log'!$Z:$Z,0)),""))</f>
        <v/>
      </c>
      <c r="E56" s="29" t="str">
        <f ca="1">IF(N(F56)&lt;=0,"",IF(N(E56)=0,TODAY(),E56))</f>
        <v/>
      </c>
      <c r="F56" s="31"/>
      <c r="G56" s="31" t="str">
        <f>IF(D56="","",D56-IF(F56="",0,F56))</f>
        <v/>
      </c>
      <c r="H56" s="19" t="str">
        <f>IF(D56="","",IF(G56&lt;=0,"PAID",IF(F56&gt;0,"PARTIAL","UNPAID")))</f>
        <v/>
      </c>
    </row>
    <row r="57" spans="1:8" ht="15" customHeight="1" x14ac:dyDescent="0.2">
      <c r="A57" s="29" t="str">
        <f>IFERROR(INDEX('Sales Log'!$A:$A,MATCH(ROW()-3,'Sales Log'!$Z:$Z,0)),"")</f>
        <v/>
      </c>
      <c r="B57" s="17" t="str">
        <f>IF(A57="","",IFERROR(INDEX('Sales Log'!$L:$L,MATCH(ROW()-3,'Sales Log'!$Z:$Z,0)),""))</f>
        <v/>
      </c>
      <c r="C57" s="17" t="str">
        <f>IF(A57="","",IFERROR(INDEX('Sales Log'!$E:$E,MATCH(ROW()-3,'Sales Log'!$Z:$Z,0))&amp;" x "&amp;INDEX('Sales Log'!$F:$F,MATCH(ROW()-3,'Sales Log'!$Z:$Z,0))&amp;" pcs",""))</f>
        <v/>
      </c>
      <c r="D57" s="31" t="str">
        <f>IF(A57="","",IFERROR(INDEX('Sales Log'!$H:$H,MATCH(ROW()-3,'Sales Log'!$Z:$Z,0)),""))</f>
        <v/>
      </c>
      <c r="E57" s="29" t="str">
        <f ca="1">IF(N(F57)&lt;=0,"",IF(N(E57)=0,TODAY(),E57))</f>
        <v/>
      </c>
      <c r="F57" s="31"/>
      <c r="G57" s="31" t="str">
        <f>IF(D57="","",D57-IF(F57="",0,F57))</f>
        <v/>
      </c>
      <c r="H57" s="19" t="str">
        <f>IF(D57="","",IF(G57&lt;=0,"PAID",IF(F57&gt;0,"PARTIAL","UNPAID")))</f>
        <v/>
      </c>
    </row>
    <row r="58" spans="1:8" ht="15" customHeight="1" x14ac:dyDescent="0.2">
      <c r="A58" s="29" t="str">
        <f>IFERROR(INDEX('Sales Log'!$A:$A,MATCH(ROW()-3,'Sales Log'!$Z:$Z,0)),"")</f>
        <v/>
      </c>
      <c r="B58" s="17" t="str">
        <f>IF(A58="","",IFERROR(INDEX('Sales Log'!$L:$L,MATCH(ROW()-3,'Sales Log'!$Z:$Z,0)),""))</f>
        <v/>
      </c>
      <c r="C58" s="17" t="str">
        <f>IF(A58="","",IFERROR(INDEX('Sales Log'!$E:$E,MATCH(ROW()-3,'Sales Log'!$Z:$Z,0))&amp;" x "&amp;INDEX('Sales Log'!$F:$F,MATCH(ROW()-3,'Sales Log'!$Z:$Z,0))&amp;" pcs",""))</f>
        <v/>
      </c>
      <c r="D58" s="31" t="str">
        <f>IF(A58="","",IFERROR(INDEX('Sales Log'!$H:$H,MATCH(ROW()-3,'Sales Log'!$Z:$Z,0)),""))</f>
        <v/>
      </c>
      <c r="E58" s="29" t="str">
        <f ca="1">IF(N(F58)&lt;=0,"",IF(N(E58)=0,TODAY(),E58))</f>
        <v/>
      </c>
      <c r="F58" s="31"/>
      <c r="G58" s="31" t="str">
        <f>IF(D58="","",D58-IF(F58="",0,F58))</f>
        <v/>
      </c>
      <c r="H58" s="19" t="str">
        <f>IF(D58="","",IF(G58&lt;=0,"PAID",IF(F58&gt;0,"PARTIAL","UNPAID")))</f>
        <v/>
      </c>
    </row>
    <row r="59" spans="1:8" ht="15" customHeight="1" x14ac:dyDescent="0.2">
      <c r="A59" s="29" t="str">
        <f>IFERROR(INDEX('Sales Log'!$A:$A,MATCH(ROW()-3,'Sales Log'!$Z:$Z,0)),"")</f>
        <v/>
      </c>
      <c r="B59" s="17" t="str">
        <f>IF(A59="","",IFERROR(INDEX('Sales Log'!$L:$L,MATCH(ROW()-3,'Sales Log'!$Z:$Z,0)),""))</f>
        <v/>
      </c>
      <c r="C59" s="17" t="str">
        <f>IF(A59="","",IFERROR(INDEX('Sales Log'!$E:$E,MATCH(ROW()-3,'Sales Log'!$Z:$Z,0))&amp;" x "&amp;INDEX('Sales Log'!$F:$F,MATCH(ROW()-3,'Sales Log'!$Z:$Z,0))&amp;" pcs",""))</f>
        <v/>
      </c>
      <c r="D59" s="31" t="str">
        <f>IF(A59="","",IFERROR(INDEX('Sales Log'!$H:$H,MATCH(ROW()-3,'Sales Log'!$Z:$Z,0)),""))</f>
        <v/>
      </c>
      <c r="E59" s="29" t="str">
        <f ca="1">IF(N(F59)&lt;=0,"",IF(N(E59)=0,TODAY(),E59))</f>
        <v/>
      </c>
      <c r="F59" s="31"/>
      <c r="G59" s="31" t="str">
        <f>IF(D59="","",D59-IF(F59="",0,F59))</f>
        <v/>
      </c>
      <c r="H59" s="19" t="str">
        <f>IF(D59="","",IF(G59&lt;=0,"PAID",IF(F59&gt;0,"PARTIAL","UNPAID")))</f>
        <v/>
      </c>
    </row>
    <row r="60" spans="1:8" ht="15" customHeight="1" x14ac:dyDescent="0.2">
      <c r="A60" s="29" t="str">
        <f>IFERROR(INDEX('Sales Log'!$A:$A,MATCH(ROW()-3,'Sales Log'!$Z:$Z,0)),"")</f>
        <v/>
      </c>
      <c r="B60" s="17" t="str">
        <f>IF(A60="","",IFERROR(INDEX('Sales Log'!$L:$L,MATCH(ROW()-3,'Sales Log'!$Z:$Z,0)),""))</f>
        <v/>
      </c>
      <c r="C60" s="17" t="str">
        <f>IF(A60="","",IFERROR(INDEX('Sales Log'!$E:$E,MATCH(ROW()-3,'Sales Log'!$Z:$Z,0))&amp;" x "&amp;INDEX('Sales Log'!$F:$F,MATCH(ROW()-3,'Sales Log'!$Z:$Z,0))&amp;" pcs",""))</f>
        <v/>
      </c>
      <c r="D60" s="31" t="str">
        <f>IF(A60="","",IFERROR(INDEX('Sales Log'!$H:$H,MATCH(ROW()-3,'Sales Log'!$Z:$Z,0)),""))</f>
        <v/>
      </c>
      <c r="E60" s="29" t="str">
        <f ca="1">IF(N(F60)&lt;=0,"",IF(N(E60)=0,TODAY(),E60))</f>
        <v/>
      </c>
      <c r="F60" s="31"/>
      <c r="G60" s="31" t="str">
        <f>IF(D60="","",D60-IF(F60="",0,F60))</f>
        <v/>
      </c>
      <c r="H60" s="19" t="str">
        <f>IF(D60="","",IF(G60&lt;=0,"PAID",IF(F60&gt;0,"PARTIAL","UNPAID")))</f>
        <v/>
      </c>
    </row>
    <row r="61" spans="1:8" ht="15" customHeight="1" x14ac:dyDescent="0.2">
      <c r="A61" s="55" t="s">
        <v>89</v>
      </c>
      <c r="B61" s="55"/>
      <c r="C61" s="55"/>
      <c r="D61" s="55"/>
      <c r="E61" s="55"/>
      <c r="F61" s="55"/>
      <c r="G61" s="39">
        <f ca="1">SUMIF(G4:G60,"&gt;0")</f>
        <v>6</v>
      </c>
      <c r="H61" s="40"/>
    </row>
  </sheetData>
  <mergeCells count="3">
    <mergeCell ref="A1:H1"/>
    <mergeCell ref="A2:H2"/>
    <mergeCell ref="A61:F61"/>
  </mergeCells>
  <conditionalFormatting sqref="H4:H60">
    <cfRule type="cellIs" dxfId="2" priority="2" operator="equal">
      <formula>"UNPAID"</formula>
    </cfRule>
    <cfRule type="cellIs" dxfId="1" priority="3" operator="equal">
      <formula>"PARTIAL"</formula>
    </cfRule>
    <cfRule type="cellIs" dxfId="0" priority="4" operator="equal">
      <formula>"PAID"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1"/>
  <sheetViews>
    <sheetView zoomScale="103" zoomScaleNormal="103" workbookViewId="0">
      <pane ySplit="3" topLeftCell="A4" activePane="bottomLeft" state="frozen"/>
      <selection pane="bottomLeft" activeCell="G6" sqref="G6"/>
    </sheetView>
  </sheetViews>
  <sheetFormatPr defaultColWidth="8.609375" defaultRowHeight="15" x14ac:dyDescent="0.2"/>
  <cols>
    <col min="1" max="1" width="11.97265625" style="15" customWidth="1"/>
    <col min="2" max="2" width="23.9453125" style="15" customWidth="1"/>
    <col min="3" max="3" width="11.02734375" style="15" customWidth="1"/>
    <col min="4" max="4" width="27.98046875" style="15" customWidth="1"/>
    <col min="5" max="5" width="11.97265625" style="15" customWidth="1"/>
    <col min="6" max="6" width="13.046875" style="15" customWidth="1"/>
    <col min="7" max="7" width="14.9296875" style="15" customWidth="1"/>
  </cols>
  <sheetData>
    <row r="1" spans="1:7" ht="33.75" customHeight="1" x14ac:dyDescent="0.2">
      <c r="A1" s="52" t="s">
        <v>90</v>
      </c>
      <c r="B1" s="52"/>
      <c r="C1" s="52"/>
      <c r="D1" s="52"/>
      <c r="E1" s="52"/>
      <c r="F1" s="52"/>
      <c r="G1" s="52"/>
    </row>
    <row r="2" spans="1:7" ht="15" customHeight="1" x14ac:dyDescent="0.2">
      <c r="A2" s="53"/>
      <c r="B2" s="53"/>
      <c r="C2" s="53"/>
      <c r="D2" s="53"/>
      <c r="E2" s="53"/>
      <c r="F2" s="53"/>
      <c r="G2" s="53"/>
    </row>
    <row r="3" spans="1:7" ht="27.75" customHeight="1" x14ac:dyDescent="0.2">
      <c r="A3" s="25" t="s">
        <v>16</v>
      </c>
      <c r="B3" s="25" t="s">
        <v>91</v>
      </c>
      <c r="C3" s="25" t="s">
        <v>19</v>
      </c>
      <c r="D3" s="25" t="s">
        <v>9</v>
      </c>
      <c r="E3" s="25" t="s">
        <v>92</v>
      </c>
      <c r="F3" s="25" t="s">
        <v>93</v>
      </c>
      <c r="G3" s="25" t="s">
        <v>94</v>
      </c>
    </row>
    <row r="4" spans="1:7" ht="15" customHeight="1" x14ac:dyDescent="0.2">
      <c r="A4" s="29">
        <v>46295</v>
      </c>
      <c r="B4" s="17" t="s">
        <v>95</v>
      </c>
      <c r="C4" s="19" t="s">
        <v>27</v>
      </c>
      <c r="D4" s="17" t="str">
        <f>IF(C4="","",VLOOKUP(C4,Inventory!$A$4:$B$21,2,FALSE()))</f>
        <v>Coke Mismo 300ml</v>
      </c>
      <c r="E4" s="18">
        <v>48</v>
      </c>
      <c r="F4" s="31">
        <v>18</v>
      </c>
      <c r="G4" s="31">
        <f>IF(OR(E4="",F4=""),"",E4*F4)</f>
        <v>864</v>
      </c>
    </row>
    <row r="5" spans="1:7" ht="15" customHeight="1" x14ac:dyDescent="0.2">
      <c r="A5" s="29">
        <v>46295</v>
      </c>
      <c r="B5" s="17" t="s">
        <v>95</v>
      </c>
      <c r="C5" s="19" t="s">
        <v>29</v>
      </c>
      <c r="D5" s="17" t="str">
        <f>IF(C5="","",VLOOKUP(C5,Inventory!$A$4:$B$21,2,FALSE()))</f>
        <v>Royal Tru-Orange 300ml</v>
      </c>
      <c r="E5" s="18">
        <v>36</v>
      </c>
      <c r="F5" s="31">
        <v>18</v>
      </c>
      <c r="G5" s="31">
        <f>IF(OR(E5="",F5=""),"",E5*F5)</f>
        <v>648</v>
      </c>
    </row>
    <row r="6" spans="1:7" ht="15" customHeight="1" x14ac:dyDescent="0.2">
      <c r="A6" s="29">
        <v>46295</v>
      </c>
      <c r="B6" s="17" t="s">
        <v>96</v>
      </c>
      <c r="C6" s="19" t="s">
        <v>44</v>
      </c>
      <c r="D6" s="17" t="str">
        <f>IF(C6="","",VLOOKUP(C6,Inventory!$A$4:$B$21,2,FALSE()))</f>
        <v>Lucky Me Pancit Canton</v>
      </c>
      <c r="E6" s="18">
        <v>100</v>
      </c>
      <c r="F6" s="31">
        <v>8.5</v>
      </c>
      <c r="G6" s="31">
        <f>IF(OR(E6="",F6=""),"",E6*F6)</f>
        <v>850</v>
      </c>
    </row>
    <row r="7" spans="1:7" ht="15" customHeight="1" x14ac:dyDescent="0.2">
      <c r="A7" s="29">
        <v>46295</v>
      </c>
      <c r="B7" s="17" t="s">
        <v>96</v>
      </c>
      <c r="C7" s="19" t="s">
        <v>30</v>
      </c>
      <c r="D7" s="17" t="str">
        <f>IF(C7="","",VLOOKUP(C7,Inventory!$A$4:$B$21,2,FALSE()))</f>
        <v>Lucky Me Instant Mami</v>
      </c>
      <c r="E7" s="18">
        <v>80</v>
      </c>
      <c r="F7" s="31">
        <v>9</v>
      </c>
      <c r="G7" s="31">
        <f>IF(OR(E7="",F7=""),"",E7*F7)</f>
        <v>720</v>
      </c>
    </row>
    <row r="8" spans="1:7" ht="15" customHeight="1" x14ac:dyDescent="0.2">
      <c r="A8" s="29">
        <v>46295</v>
      </c>
      <c r="B8" s="17" t="s">
        <v>97</v>
      </c>
      <c r="C8" s="19" t="s">
        <v>53</v>
      </c>
      <c r="D8" s="17" t="str">
        <f>IF(C8="","",VLOOKUP(C8,Inventory!$A$4:$B$21,2,FALSE()))</f>
        <v>Bear Brand Powder 33g</v>
      </c>
      <c r="E8" s="18">
        <v>40</v>
      </c>
      <c r="F8" s="31">
        <v>11</v>
      </c>
      <c r="G8" s="31">
        <f>IF(OR(E8="",F8=""),"",E8*F8)</f>
        <v>440</v>
      </c>
    </row>
    <row r="9" spans="1:7" ht="15" customHeight="1" x14ac:dyDescent="0.2">
      <c r="A9" s="29">
        <v>46295</v>
      </c>
      <c r="B9" s="17" t="s">
        <v>98</v>
      </c>
      <c r="C9" s="19" t="s">
        <v>71</v>
      </c>
      <c r="D9" s="17" t="str">
        <f>IF(C9="","",VLOOKUP(C9,Inventory!$A$4:$B$21,2,FALSE()))</f>
        <v>Rice (per kg)</v>
      </c>
      <c r="E9" s="18">
        <v>100</v>
      </c>
      <c r="F9" s="31">
        <v>42</v>
      </c>
      <c r="G9" s="31">
        <f>IF(OR(E9="",F9=""),"",E9*F9)</f>
        <v>4200</v>
      </c>
    </row>
    <row r="10" spans="1:7" ht="15" customHeight="1" x14ac:dyDescent="0.2">
      <c r="A10" s="29" t="str">
        <f ca="1">IF(OR(C10="",E10=""),"",IF(N(A10)=0,TODAY(),A10))</f>
        <v/>
      </c>
      <c r="B10" s="17"/>
      <c r="C10" s="19"/>
      <c r="D10" s="17" t="str">
        <f>IF(C10="","",VLOOKUP(C10,Inventory!$A$4:$B$21,2,FALSE()))</f>
        <v/>
      </c>
      <c r="E10" s="18"/>
      <c r="F10" s="31" t="str">
        <f>IF(C10="","",VLOOKUP(C10,Inventory!$A$4:$D$21,4,FALSE()))</f>
        <v/>
      </c>
      <c r="G10" s="31" t="str">
        <f>IF(OR(E10="",F10=""),"",E10*F10)</f>
        <v/>
      </c>
    </row>
    <row r="11" spans="1:7" ht="15" customHeight="1" x14ac:dyDescent="0.2">
      <c r="A11" s="29" t="str">
        <f ca="1">IF(OR(C11="",E11=""),"",IF(N(A11)=0,TODAY(),A11))</f>
        <v/>
      </c>
      <c r="B11" s="17"/>
      <c r="C11" s="19"/>
      <c r="D11" s="17" t="str">
        <f>IF(C11="","",VLOOKUP(C11,Inventory!$A$4:$B$21,2,FALSE()))</f>
        <v/>
      </c>
      <c r="E11" s="18"/>
      <c r="F11" s="31" t="str">
        <f>IF(C11="","",VLOOKUP(C11,Inventory!$A$4:$D$21,4,FALSE()))</f>
        <v/>
      </c>
      <c r="G11" s="31" t="str">
        <f>IF(OR(E11="",F11=""),"",E11*F11)</f>
        <v/>
      </c>
    </row>
    <row r="12" spans="1:7" ht="15" customHeight="1" x14ac:dyDescent="0.2">
      <c r="A12" s="29" t="str">
        <f ca="1">IF(OR(C12="",E12=""),"",IF(N(A12)=0,TODAY(),A12))</f>
        <v/>
      </c>
      <c r="B12" s="17"/>
      <c r="C12" s="19"/>
      <c r="D12" s="17" t="str">
        <f>IF(C12="","",VLOOKUP(C12,Inventory!$A$4:$B$21,2,FALSE()))</f>
        <v/>
      </c>
      <c r="E12" s="18"/>
      <c r="F12" s="31" t="str">
        <f>IF(C12="","",VLOOKUP(C12,Inventory!$A$4:$D$21,4,FALSE()))</f>
        <v/>
      </c>
      <c r="G12" s="31" t="str">
        <f>IF(OR(E12="",F12=""),"",E12*F12)</f>
        <v/>
      </c>
    </row>
    <row r="13" spans="1:7" ht="15" customHeight="1" x14ac:dyDescent="0.2">
      <c r="A13" s="29" t="str">
        <f ca="1">IF(OR(C13="",E13=""),"",IF(N(A13)=0,TODAY(),A13))</f>
        <v/>
      </c>
      <c r="B13" s="17"/>
      <c r="C13" s="19"/>
      <c r="D13" s="17" t="str">
        <f>IF(C13="","",VLOOKUP(C13,Inventory!$A$4:$B$21,2,FALSE()))</f>
        <v/>
      </c>
      <c r="E13" s="18"/>
      <c r="F13" s="31" t="str">
        <f>IF(C13="","",VLOOKUP(C13,Inventory!$A$4:$D$21,4,FALSE()))</f>
        <v/>
      </c>
      <c r="G13" s="31" t="str">
        <f>IF(OR(E13="",F13=""),"",E13*F13)</f>
        <v/>
      </c>
    </row>
    <row r="14" spans="1:7" ht="15" customHeight="1" x14ac:dyDescent="0.2">
      <c r="A14" s="29" t="str">
        <f ca="1">IF(OR(C14="",E14=""),"",IF(N(A14)=0,TODAY(),A14))</f>
        <v/>
      </c>
      <c r="B14" s="17"/>
      <c r="C14" s="19"/>
      <c r="D14" s="17" t="str">
        <f>IF(C14="","",VLOOKUP(C14,Inventory!$A$4:$B$21,2,FALSE()))</f>
        <v/>
      </c>
      <c r="E14" s="18"/>
      <c r="F14" s="31" t="str">
        <f>IF(C14="","",VLOOKUP(C14,Inventory!$A$4:$D$21,4,FALSE()))</f>
        <v/>
      </c>
      <c r="G14" s="31" t="str">
        <f>IF(OR(E14="",F14=""),"",E14*F14)</f>
        <v/>
      </c>
    </row>
    <row r="15" spans="1:7" ht="15" customHeight="1" x14ac:dyDescent="0.2">
      <c r="A15" s="29" t="str">
        <f ca="1">IF(OR(C15="",E15=""),"",IF(N(A15)=0,TODAY(),A15))</f>
        <v/>
      </c>
      <c r="B15" s="17"/>
      <c r="C15" s="19"/>
      <c r="D15" s="17" t="str">
        <f>IF(C15="","",VLOOKUP(C15,Inventory!$A$4:$B$21,2,FALSE()))</f>
        <v/>
      </c>
      <c r="E15" s="18"/>
      <c r="F15" s="31" t="str">
        <f>IF(C15="","",VLOOKUP(C15,Inventory!$A$4:$D$21,4,FALSE()))</f>
        <v/>
      </c>
      <c r="G15" s="31" t="str">
        <f>IF(OR(E15="",F15=""),"",E15*F15)</f>
        <v/>
      </c>
    </row>
    <row r="16" spans="1:7" ht="15" customHeight="1" x14ac:dyDescent="0.2">
      <c r="A16" s="29" t="str">
        <f ca="1">IF(OR(C16="",E16=""),"",IF(N(A16)=0,TODAY(),A16))</f>
        <v/>
      </c>
      <c r="B16" s="17"/>
      <c r="C16" s="19"/>
      <c r="D16" s="17" t="str">
        <f>IF(C16="","",VLOOKUP(C16,Inventory!$A$4:$B$21,2,FALSE()))</f>
        <v/>
      </c>
      <c r="E16" s="18"/>
      <c r="F16" s="31" t="str">
        <f>IF(C16="","",VLOOKUP(C16,Inventory!$A$4:$D$21,4,FALSE()))</f>
        <v/>
      </c>
      <c r="G16" s="31" t="str">
        <f>IF(OR(E16="",F16=""),"",E16*F16)</f>
        <v/>
      </c>
    </row>
    <row r="17" spans="1:7" ht="15" customHeight="1" x14ac:dyDescent="0.2">
      <c r="A17" s="29" t="str">
        <f ca="1">IF(OR(C17="",E17=""),"",IF(N(A17)=0,TODAY(),A17))</f>
        <v/>
      </c>
      <c r="B17" s="17"/>
      <c r="C17" s="19"/>
      <c r="D17" s="17" t="str">
        <f>IF(C17="","",VLOOKUP(C17,Inventory!$A$4:$B$21,2,FALSE()))</f>
        <v/>
      </c>
      <c r="E17" s="18"/>
      <c r="F17" s="31" t="str">
        <f>IF(C17="","",VLOOKUP(C17,Inventory!$A$4:$D$21,4,FALSE()))</f>
        <v/>
      </c>
      <c r="G17" s="31" t="str">
        <f>IF(OR(E17="",F17=""),"",E17*F17)</f>
        <v/>
      </c>
    </row>
    <row r="18" spans="1:7" ht="15" customHeight="1" x14ac:dyDescent="0.2">
      <c r="A18" s="29" t="str">
        <f ca="1">IF(OR(C18="",E18=""),"",IF(N(A18)=0,TODAY(),A18))</f>
        <v/>
      </c>
      <c r="B18" s="17"/>
      <c r="C18" s="19"/>
      <c r="D18" s="17" t="str">
        <f>IF(C18="","",VLOOKUP(C18,Inventory!$A$4:$B$21,2,FALSE()))</f>
        <v/>
      </c>
      <c r="E18" s="18"/>
      <c r="F18" s="31" t="str">
        <f>IF(C18="","",VLOOKUP(C18,Inventory!$A$4:$D$21,4,FALSE()))</f>
        <v/>
      </c>
      <c r="G18" s="31" t="str">
        <f>IF(OR(E18="",F18=""),"",E18*F18)</f>
        <v/>
      </c>
    </row>
    <row r="19" spans="1:7" ht="15" customHeight="1" x14ac:dyDescent="0.2">
      <c r="A19" s="29" t="str">
        <f ca="1">IF(OR(C19="",E19=""),"",IF(N(A19)=0,TODAY(),A19))</f>
        <v/>
      </c>
      <c r="B19" s="17"/>
      <c r="C19" s="19"/>
      <c r="D19" s="17" t="str">
        <f>IF(C19="","",VLOOKUP(C19,Inventory!$A$4:$B$21,2,FALSE()))</f>
        <v/>
      </c>
      <c r="E19" s="18"/>
      <c r="F19" s="31" t="str">
        <f>IF(C19="","",VLOOKUP(C19,Inventory!$A$4:$D$21,4,FALSE()))</f>
        <v/>
      </c>
      <c r="G19" s="31" t="str">
        <f>IF(OR(E19="",F19=""),"",E19*F19)</f>
        <v/>
      </c>
    </row>
    <row r="20" spans="1:7" ht="15" customHeight="1" x14ac:dyDescent="0.2">
      <c r="A20" s="29" t="str">
        <f ca="1">IF(OR(C20="",E20=""),"",IF(N(A20)=0,TODAY(),A20))</f>
        <v/>
      </c>
      <c r="B20" s="17"/>
      <c r="C20" s="19"/>
      <c r="D20" s="17" t="str">
        <f>IF(C20="","",VLOOKUP(C20,Inventory!$A$4:$B$21,2,FALSE()))</f>
        <v/>
      </c>
      <c r="E20" s="18"/>
      <c r="F20" s="31" t="str">
        <f>IF(C20="","",VLOOKUP(C20,Inventory!$A$4:$D$21,4,FALSE()))</f>
        <v/>
      </c>
      <c r="G20" s="31" t="str">
        <f>IF(OR(E20="",F20=""),"",E20*F20)</f>
        <v/>
      </c>
    </row>
    <row r="21" spans="1:7" ht="15" customHeight="1" x14ac:dyDescent="0.2">
      <c r="A21" s="29" t="str">
        <f ca="1">IF(OR(C21="",E21=""),"",IF(N(A21)=0,TODAY(),A21))</f>
        <v/>
      </c>
      <c r="B21" s="17"/>
      <c r="C21" s="19"/>
      <c r="D21" s="17" t="str">
        <f>IF(C21="","",VLOOKUP(C21,Inventory!$A$4:$B$21,2,FALSE()))</f>
        <v/>
      </c>
      <c r="E21" s="18"/>
      <c r="F21" s="31" t="str">
        <f>IF(C21="","",VLOOKUP(C21,Inventory!$A$4:$D$21,4,FALSE()))</f>
        <v/>
      </c>
      <c r="G21" s="31" t="str">
        <f>IF(OR(E21="",F21=""),"",E21*F21)</f>
        <v/>
      </c>
    </row>
    <row r="22" spans="1:7" ht="15" customHeight="1" x14ac:dyDescent="0.2">
      <c r="A22" s="29" t="str">
        <f ca="1">IF(OR(C22="",E22=""),"",IF(N(A22)=0,TODAY(),A22))</f>
        <v/>
      </c>
      <c r="B22" s="17"/>
      <c r="C22" s="19"/>
      <c r="D22" s="17" t="str">
        <f>IF(C22="","",VLOOKUP(C22,Inventory!$A$4:$B$21,2,FALSE()))</f>
        <v/>
      </c>
      <c r="E22" s="18"/>
      <c r="F22" s="31" t="str">
        <f>IF(C22="","",VLOOKUP(C22,Inventory!$A$4:$D$21,4,FALSE()))</f>
        <v/>
      </c>
      <c r="G22" s="31" t="str">
        <f>IF(OR(E22="",F22=""),"",E22*F22)</f>
        <v/>
      </c>
    </row>
    <row r="23" spans="1:7" ht="15" customHeight="1" x14ac:dyDescent="0.2">
      <c r="A23" s="29" t="str">
        <f ca="1">IF(OR(C23="",E23=""),"",IF(N(A23)=0,TODAY(),A23))</f>
        <v/>
      </c>
      <c r="B23" s="17"/>
      <c r="C23" s="19"/>
      <c r="D23" s="17" t="str">
        <f>IF(C23="","",VLOOKUP(C23,Inventory!$A$4:$B$21,2,FALSE()))</f>
        <v/>
      </c>
      <c r="E23" s="18"/>
      <c r="F23" s="31" t="str">
        <f>IF(C23="","",VLOOKUP(C23,Inventory!$A$4:$D$21,4,FALSE()))</f>
        <v/>
      </c>
      <c r="G23" s="31" t="str">
        <f>IF(OR(E23="",F23=""),"",E23*F23)</f>
        <v/>
      </c>
    </row>
    <row r="24" spans="1:7" ht="15" customHeight="1" x14ac:dyDescent="0.2">
      <c r="A24" s="29" t="str">
        <f ca="1">IF(OR(C24="",E24=""),"",IF(N(A24)=0,TODAY(),A24))</f>
        <v/>
      </c>
      <c r="B24" s="17"/>
      <c r="C24" s="19"/>
      <c r="D24" s="17" t="str">
        <f>IF(C24="","",VLOOKUP(C24,Inventory!$A$4:$B$21,2,FALSE()))</f>
        <v/>
      </c>
      <c r="E24" s="18"/>
      <c r="F24" s="31" t="str">
        <f>IF(C24="","",VLOOKUP(C24,Inventory!$A$4:$D$21,4,FALSE()))</f>
        <v/>
      </c>
      <c r="G24" s="31" t="str">
        <f>IF(OR(E24="",F24=""),"",E24*F24)</f>
        <v/>
      </c>
    </row>
    <row r="25" spans="1:7" ht="15" customHeight="1" x14ac:dyDescent="0.2">
      <c r="A25" s="29" t="str">
        <f ca="1">IF(OR(C25="",E25=""),"",IF(N(A25)=0,TODAY(),A25))</f>
        <v/>
      </c>
      <c r="B25" s="17"/>
      <c r="C25" s="19"/>
      <c r="D25" s="17" t="str">
        <f>IF(C25="","",VLOOKUP(C25,Inventory!$A$4:$B$21,2,FALSE()))</f>
        <v/>
      </c>
      <c r="E25" s="18"/>
      <c r="F25" s="31" t="str">
        <f>IF(C25="","",VLOOKUP(C25,Inventory!$A$4:$D$21,4,FALSE()))</f>
        <v/>
      </c>
      <c r="G25" s="31" t="str">
        <f>IF(OR(E25="",F25=""),"",E25*F25)</f>
        <v/>
      </c>
    </row>
    <row r="26" spans="1:7" ht="15" customHeight="1" x14ac:dyDescent="0.2">
      <c r="A26" s="29" t="str">
        <f ca="1">IF(OR(C26="",E26=""),"",IF(N(A26)=0,TODAY(),A26))</f>
        <v/>
      </c>
      <c r="B26" s="17"/>
      <c r="C26" s="19"/>
      <c r="D26" s="17" t="str">
        <f>IF(C26="","",VLOOKUP(C26,Inventory!$A$4:$B$21,2,FALSE()))</f>
        <v/>
      </c>
      <c r="E26" s="18"/>
      <c r="F26" s="31" t="str">
        <f>IF(C26="","",VLOOKUP(C26,Inventory!$A$4:$D$21,4,FALSE()))</f>
        <v/>
      </c>
      <c r="G26" s="31" t="str">
        <f>IF(OR(E26="",F26=""),"",E26*F26)</f>
        <v/>
      </c>
    </row>
    <row r="27" spans="1:7" ht="15" customHeight="1" x14ac:dyDescent="0.2">
      <c r="A27" s="29" t="str">
        <f ca="1">IF(OR(C27="",E27=""),"",IF(N(A27)=0,TODAY(),A27))</f>
        <v/>
      </c>
      <c r="B27" s="17"/>
      <c r="C27" s="19"/>
      <c r="D27" s="17" t="str">
        <f>IF(C27="","",VLOOKUP(C27,Inventory!$A$4:$B$21,2,FALSE()))</f>
        <v/>
      </c>
      <c r="E27" s="18"/>
      <c r="F27" s="31" t="str">
        <f>IF(C27="","",VLOOKUP(C27,Inventory!$A$4:$D$21,4,FALSE()))</f>
        <v/>
      </c>
      <c r="G27" s="31" t="str">
        <f>IF(OR(E27="",F27=""),"",E27*F27)</f>
        <v/>
      </c>
    </row>
    <row r="28" spans="1:7" ht="15" customHeight="1" x14ac:dyDescent="0.2">
      <c r="A28" s="29" t="str">
        <f ca="1">IF(OR(C28="",E28=""),"",IF(N(A28)=0,TODAY(),A28))</f>
        <v/>
      </c>
      <c r="B28" s="17"/>
      <c r="C28" s="19"/>
      <c r="D28" s="17" t="str">
        <f>IF(C28="","",VLOOKUP(C28,Inventory!$A$4:$B$21,2,FALSE()))</f>
        <v/>
      </c>
      <c r="E28" s="18"/>
      <c r="F28" s="31" t="str">
        <f>IF(C28="","",VLOOKUP(C28,Inventory!$A$4:$D$21,4,FALSE()))</f>
        <v/>
      </c>
      <c r="G28" s="31" t="str">
        <f>IF(OR(E28="",F28=""),"",E28*F28)</f>
        <v/>
      </c>
    </row>
    <row r="29" spans="1:7" ht="15" customHeight="1" x14ac:dyDescent="0.2">
      <c r="A29" s="29" t="str">
        <f ca="1">IF(OR(C29="",E29=""),"",IF(N(A29)=0,TODAY(),A29))</f>
        <v/>
      </c>
      <c r="B29" s="17"/>
      <c r="C29" s="19"/>
      <c r="D29" s="17" t="str">
        <f>IF(C29="","",VLOOKUP(C29,Inventory!$A$4:$B$21,2,FALSE()))</f>
        <v/>
      </c>
      <c r="E29" s="18"/>
      <c r="F29" s="31" t="str">
        <f>IF(C29="","",VLOOKUP(C29,Inventory!$A$4:$D$21,4,FALSE()))</f>
        <v/>
      </c>
      <c r="G29" s="31" t="str">
        <f>IF(OR(E29="",F29=""),"",E29*F29)</f>
        <v/>
      </c>
    </row>
    <row r="30" spans="1:7" ht="15" customHeight="1" x14ac:dyDescent="0.2">
      <c r="A30" s="29" t="str">
        <f ca="1">IF(OR(C30="",E30=""),"",IF(N(A30)=0,TODAY(),A30))</f>
        <v/>
      </c>
      <c r="B30" s="17"/>
      <c r="C30" s="19"/>
      <c r="D30" s="17" t="str">
        <f>IF(C30="","",VLOOKUP(C30,Inventory!$A$4:$B$21,2,FALSE()))</f>
        <v/>
      </c>
      <c r="E30" s="18"/>
      <c r="F30" s="31" t="str">
        <f>IF(C30="","",VLOOKUP(C30,Inventory!$A$4:$D$21,4,FALSE()))</f>
        <v/>
      </c>
      <c r="G30" s="31" t="str">
        <f>IF(OR(E30="",F30=""),"",E30*F30)</f>
        <v/>
      </c>
    </row>
    <row r="31" spans="1:7" ht="15" customHeight="1" x14ac:dyDescent="0.2">
      <c r="A31" s="29" t="str">
        <f ca="1">IF(OR(C31="",E31=""),"",IF(N(A31)=0,TODAY(),A31))</f>
        <v/>
      </c>
      <c r="B31" s="17"/>
      <c r="C31" s="19"/>
      <c r="D31" s="17" t="str">
        <f>IF(C31="","",VLOOKUP(C31,Inventory!$A$4:$B$21,2,FALSE()))</f>
        <v/>
      </c>
      <c r="E31" s="18"/>
      <c r="F31" s="31" t="str">
        <f>IF(C31="","",VLOOKUP(C31,Inventory!$A$4:$D$21,4,FALSE()))</f>
        <v/>
      </c>
      <c r="G31" s="31" t="str">
        <f>IF(OR(E31="",F31=""),"",E31*F31)</f>
        <v/>
      </c>
    </row>
    <row r="32" spans="1:7" ht="15" customHeight="1" x14ac:dyDescent="0.2">
      <c r="A32" s="29" t="str">
        <f ca="1">IF(OR(C32="",E32=""),"",IF(N(A32)=0,TODAY(),A32))</f>
        <v/>
      </c>
      <c r="B32" s="17"/>
      <c r="C32" s="19"/>
      <c r="D32" s="17" t="str">
        <f>IF(C32="","",VLOOKUP(C32,Inventory!$A$4:$B$21,2,FALSE()))</f>
        <v/>
      </c>
      <c r="E32" s="18"/>
      <c r="F32" s="31" t="str">
        <f>IF(C32="","",VLOOKUP(C32,Inventory!$A$4:$D$21,4,FALSE()))</f>
        <v/>
      </c>
      <c r="G32" s="31" t="str">
        <f>IF(OR(E32="",F32=""),"",E32*F32)</f>
        <v/>
      </c>
    </row>
    <row r="33" spans="1:7" ht="15" customHeight="1" x14ac:dyDescent="0.2">
      <c r="A33" s="29" t="str">
        <f ca="1">IF(OR(C33="",E33=""),"",IF(N(A33)=0,TODAY(),A33))</f>
        <v/>
      </c>
      <c r="B33" s="17"/>
      <c r="C33" s="19"/>
      <c r="D33" s="17" t="str">
        <f>IF(C33="","",VLOOKUP(C33,Inventory!$A$4:$B$21,2,FALSE()))</f>
        <v/>
      </c>
      <c r="E33" s="18"/>
      <c r="F33" s="31" t="str">
        <f>IF(C33="","",VLOOKUP(C33,Inventory!$A$4:$D$21,4,FALSE()))</f>
        <v/>
      </c>
      <c r="G33" s="31" t="str">
        <f>IF(OR(E33="",F33=""),"",E33*F33)</f>
        <v/>
      </c>
    </row>
    <row r="34" spans="1:7" ht="15" customHeight="1" x14ac:dyDescent="0.2">
      <c r="A34" s="29" t="str">
        <f ca="1">IF(OR(C34="",E34=""),"",IF(N(A34)=0,TODAY(),A34))</f>
        <v/>
      </c>
      <c r="B34" s="17"/>
      <c r="C34" s="19"/>
      <c r="D34" s="17" t="str">
        <f>IF(C34="","",VLOOKUP(C34,Inventory!$A$4:$B$21,2,FALSE()))</f>
        <v/>
      </c>
      <c r="E34" s="18"/>
      <c r="F34" s="31" t="str">
        <f>IF(C34="","",VLOOKUP(C34,Inventory!$A$4:$D$21,4,FALSE()))</f>
        <v/>
      </c>
      <c r="G34" s="31" t="str">
        <f>IF(OR(E34="",F34=""),"",E34*F34)</f>
        <v/>
      </c>
    </row>
    <row r="35" spans="1:7" ht="15" customHeight="1" x14ac:dyDescent="0.2">
      <c r="A35" s="29" t="str">
        <f ca="1">IF(OR(C35="",E35=""),"",IF(N(A35)=0,TODAY(),A35))</f>
        <v/>
      </c>
      <c r="B35" s="17"/>
      <c r="C35" s="19"/>
      <c r="D35" s="17" t="str">
        <f>IF(C35="","",VLOOKUP(C35,Inventory!$A$4:$B$21,2,FALSE()))</f>
        <v/>
      </c>
      <c r="E35" s="18"/>
      <c r="F35" s="31" t="str">
        <f>IF(C35="","",VLOOKUP(C35,Inventory!$A$4:$D$21,4,FALSE()))</f>
        <v/>
      </c>
      <c r="G35" s="31" t="str">
        <f>IF(OR(E35="",F35=""),"",E35*F35)</f>
        <v/>
      </c>
    </row>
    <row r="36" spans="1:7" ht="15" customHeight="1" x14ac:dyDescent="0.2">
      <c r="A36" s="29" t="str">
        <f ca="1">IF(OR(C36="",E36=""),"",IF(N(A36)=0,TODAY(),A36))</f>
        <v/>
      </c>
      <c r="B36" s="17"/>
      <c r="C36" s="19"/>
      <c r="D36" s="17" t="str">
        <f>IF(C36="","",VLOOKUP(C36,Inventory!$A$4:$B$21,2,FALSE()))</f>
        <v/>
      </c>
      <c r="E36" s="18"/>
      <c r="F36" s="31" t="str">
        <f>IF(C36="","",VLOOKUP(C36,Inventory!$A$4:$D$21,4,FALSE()))</f>
        <v/>
      </c>
      <c r="G36" s="31" t="str">
        <f>IF(OR(E36="",F36=""),"",E36*F36)</f>
        <v/>
      </c>
    </row>
    <row r="37" spans="1:7" ht="15" customHeight="1" x14ac:dyDescent="0.2">
      <c r="A37" s="29" t="str">
        <f ca="1">IF(OR(C37="",E37=""),"",IF(N(A37)=0,TODAY(),A37))</f>
        <v/>
      </c>
      <c r="B37" s="17"/>
      <c r="C37" s="19"/>
      <c r="D37" s="17" t="str">
        <f>IF(C37="","",VLOOKUP(C37,Inventory!$A$4:$B$21,2,FALSE()))</f>
        <v/>
      </c>
      <c r="E37" s="18"/>
      <c r="F37" s="31" t="str">
        <f>IF(C37="","",VLOOKUP(C37,Inventory!$A$4:$D$21,4,FALSE()))</f>
        <v/>
      </c>
      <c r="G37" s="31" t="str">
        <f>IF(OR(E37="",F37=""),"",E37*F37)</f>
        <v/>
      </c>
    </row>
    <row r="38" spans="1:7" ht="15" customHeight="1" x14ac:dyDescent="0.2">
      <c r="A38" s="29" t="str">
        <f ca="1">IF(OR(C38="",E38=""),"",IF(N(A38)=0,TODAY(),A38))</f>
        <v/>
      </c>
      <c r="B38" s="17"/>
      <c r="C38" s="19"/>
      <c r="D38" s="17" t="str">
        <f>IF(C38="","",VLOOKUP(C38,Inventory!$A$4:$B$21,2,FALSE()))</f>
        <v/>
      </c>
      <c r="E38" s="18"/>
      <c r="F38" s="31" t="str">
        <f>IF(C38="","",VLOOKUP(C38,Inventory!$A$4:$D$21,4,FALSE()))</f>
        <v/>
      </c>
      <c r="G38" s="31" t="str">
        <f>IF(OR(E38="",F38=""),"",E38*F38)</f>
        <v/>
      </c>
    </row>
    <row r="39" spans="1:7" ht="15" customHeight="1" x14ac:dyDescent="0.2">
      <c r="A39" s="29" t="str">
        <f ca="1">IF(OR(C39="",E39=""),"",IF(N(A39)=0,TODAY(),A39))</f>
        <v/>
      </c>
      <c r="B39" s="17"/>
      <c r="C39" s="19"/>
      <c r="D39" s="17" t="str">
        <f>IF(C39="","",VLOOKUP(C39,Inventory!$A$4:$B$21,2,FALSE()))</f>
        <v/>
      </c>
      <c r="E39" s="18"/>
      <c r="F39" s="31" t="str">
        <f>IF(C39="","",VLOOKUP(C39,Inventory!$A$4:$D$21,4,FALSE()))</f>
        <v/>
      </c>
      <c r="G39" s="31" t="str">
        <f>IF(OR(E39="",F39=""),"",E39*F39)</f>
        <v/>
      </c>
    </row>
    <row r="40" spans="1:7" ht="15" customHeight="1" x14ac:dyDescent="0.2">
      <c r="A40" s="29" t="str">
        <f ca="1">IF(OR(C40="",E40=""),"",IF(N(A40)=0,TODAY(),A40))</f>
        <v/>
      </c>
      <c r="B40" s="17"/>
      <c r="C40" s="19"/>
      <c r="D40" s="17" t="str">
        <f>IF(C40="","",VLOOKUP(C40,Inventory!$A$4:$B$21,2,FALSE()))</f>
        <v/>
      </c>
      <c r="E40" s="18"/>
      <c r="F40" s="31" t="str">
        <f>IF(C40="","",VLOOKUP(C40,Inventory!$A$4:$D$21,4,FALSE()))</f>
        <v/>
      </c>
      <c r="G40" s="31" t="str">
        <f>IF(OR(E40="",F40=""),"",E40*F40)</f>
        <v/>
      </c>
    </row>
    <row r="41" spans="1:7" ht="15" customHeight="1" x14ac:dyDescent="0.2">
      <c r="A41" s="29" t="str">
        <f ca="1">IF(OR(C41="",E41=""),"",IF(N(A41)=0,TODAY(),A41))</f>
        <v/>
      </c>
      <c r="B41" s="17"/>
      <c r="C41" s="19"/>
      <c r="D41" s="17" t="str">
        <f>IF(C41="","",VLOOKUP(C41,Inventory!$A$4:$B$21,2,FALSE()))</f>
        <v/>
      </c>
      <c r="E41" s="18"/>
      <c r="F41" s="31" t="str">
        <f>IF(C41="","",VLOOKUP(C41,Inventory!$A$4:$D$21,4,FALSE()))</f>
        <v/>
      </c>
      <c r="G41" s="31" t="str">
        <f>IF(OR(E41="",F41=""),"",E41*F41)</f>
        <v/>
      </c>
    </row>
    <row r="42" spans="1:7" ht="15" customHeight="1" x14ac:dyDescent="0.2">
      <c r="A42" s="29" t="str">
        <f ca="1">IF(OR(C42="",E42=""),"",IF(N(A42)=0,TODAY(),A42))</f>
        <v/>
      </c>
      <c r="B42" s="17"/>
      <c r="C42" s="19"/>
      <c r="D42" s="17" t="str">
        <f>IF(C42="","",VLOOKUP(C42,Inventory!$A$4:$B$21,2,FALSE()))</f>
        <v/>
      </c>
      <c r="E42" s="18"/>
      <c r="F42" s="31" t="str">
        <f>IF(C42="","",VLOOKUP(C42,Inventory!$A$4:$D$21,4,FALSE()))</f>
        <v/>
      </c>
      <c r="G42" s="31" t="str">
        <f>IF(OR(E42="",F42=""),"",E42*F42)</f>
        <v/>
      </c>
    </row>
    <row r="43" spans="1:7" ht="15" customHeight="1" x14ac:dyDescent="0.2">
      <c r="A43" s="29" t="str">
        <f ca="1">IF(OR(C43="",E43=""),"",IF(N(A43)=0,TODAY(),A43))</f>
        <v/>
      </c>
      <c r="B43" s="17"/>
      <c r="C43" s="19"/>
      <c r="D43" s="17" t="str">
        <f>IF(C43="","",VLOOKUP(C43,Inventory!$A$4:$B$21,2,FALSE()))</f>
        <v/>
      </c>
      <c r="E43" s="18"/>
      <c r="F43" s="31" t="str">
        <f>IF(C43="","",VLOOKUP(C43,Inventory!$A$4:$D$21,4,FALSE()))</f>
        <v/>
      </c>
      <c r="G43" s="31" t="str">
        <f>IF(OR(E43="",F43=""),"",E43*F43)</f>
        <v/>
      </c>
    </row>
    <row r="44" spans="1:7" ht="15" customHeight="1" x14ac:dyDescent="0.2">
      <c r="A44" s="29" t="str">
        <f ca="1">IF(OR(C44="",E44=""),"",IF(N(A44)=0,TODAY(),A44))</f>
        <v/>
      </c>
      <c r="B44" s="17"/>
      <c r="C44" s="19"/>
      <c r="D44" s="17" t="str">
        <f>IF(C44="","",VLOOKUP(C44,Inventory!$A$4:$B$21,2,FALSE()))</f>
        <v/>
      </c>
      <c r="E44" s="18"/>
      <c r="F44" s="31" t="str">
        <f>IF(C44="","",VLOOKUP(C44,Inventory!$A$4:$D$21,4,FALSE()))</f>
        <v/>
      </c>
      <c r="G44" s="31" t="str">
        <f>IF(OR(E44="",F44=""),"",E44*F44)</f>
        <v/>
      </c>
    </row>
    <row r="45" spans="1:7" ht="15" customHeight="1" x14ac:dyDescent="0.2">
      <c r="A45" s="29" t="str">
        <f ca="1">IF(OR(C45="",E45=""),"",IF(N(A45)=0,TODAY(),A45))</f>
        <v/>
      </c>
      <c r="B45" s="17"/>
      <c r="C45" s="19"/>
      <c r="D45" s="17" t="str">
        <f>IF(C45="","",VLOOKUP(C45,Inventory!$A$4:$B$21,2,FALSE()))</f>
        <v/>
      </c>
      <c r="E45" s="18"/>
      <c r="F45" s="31" t="str">
        <f>IF(C45="","",VLOOKUP(C45,Inventory!$A$4:$D$21,4,FALSE()))</f>
        <v/>
      </c>
      <c r="G45" s="31" t="str">
        <f>IF(OR(E45="",F45=""),"",E45*F45)</f>
        <v/>
      </c>
    </row>
    <row r="46" spans="1:7" ht="15" customHeight="1" x14ac:dyDescent="0.2">
      <c r="A46" s="29" t="str">
        <f ca="1">IF(OR(C46="",E46=""),"",IF(N(A46)=0,TODAY(),A46))</f>
        <v/>
      </c>
      <c r="B46" s="17"/>
      <c r="C46" s="19"/>
      <c r="D46" s="17" t="str">
        <f>IF(C46="","",VLOOKUP(C46,Inventory!$A$4:$B$21,2,FALSE()))</f>
        <v/>
      </c>
      <c r="E46" s="18"/>
      <c r="F46" s="31" t="str">
        <f>IF(C46="","",VLOOKUP(C46,Inventory!$A$4:$D$21,4,FALSE()))</f>
        <v/>
      </c>
      <c r="G46" s="31" t="str">
        <f>IF(OR(E46="",F46=""),"",E46*F46)</f>
        <v/>
      </c>
    </row>
    <row r="47" spans="1:7" ht="15" customHeight="1" x14ac:dyDescent="0.2">
      <c r="A47" s="29" t="str">
        <f ca="1">IF(OR(C47="",E47=""),"",IF(N(A47)=0,TODAY(),A47))</f>
        <v/>
      </c>
      <c r="B47" s="17"/>
      <c r="C47" s="19"/>
      <c r="D47" s="17" t="str">
        <f>IF(C47="","",VLOOKUP(C47,Inventory!$A$4:$B$21,2,FALSE()))</f>
        <v/>
      </c>
      <c r="E47" s="18"/>
      <c r="F47" s="31" t="str">
        <f>IF(C47="","",VLOOKUP(C47,Inventory!$A$4:$D$21,4,FALSE()))</f>
        <v/>
      </c>
      <c r="G47" s="31" t="str">
        <f>IF(OR(E47="",F47=""),"",E47*F47)</f>
        <v/>
      </c>
    </row>
    <row r="48" spans="1:7" ht="15" customHeight="1" x14ac:dyDescent="0.2">
      <c r="A48" s="29" t="str">
        <f ca="1">IF(OR(C48="",E48=""),"",IF(N(A48)=0,TODAY(),A48))</f>
        <v/>
      </c>
      <c r="B48" s="17"/>
      <c r="C48" s="19"/>
      <c r="D48" s="17" t="str">
        <f>IF(C48="","",VLOOKUP(C48,Inventory!$A$4:$B$21,2,FALSE()))</f>
        <v/>
      </c>
      <c r="E48" s="18"/>
      <c r="F48" s="31" t="str">
        <f>IF(C48="","",VLOOKUP(C48,Inventory!$A$4:$D$21,4,FALSE()))</f>
        <v/>
      </c>
      <c r="G48" s="31" t="str">
        <f>IF(OR(E48="",F48=""),"",E48*F48)</f>
        <v/>
      </c>
    </row>
    <row r="49" spans="1:7" ht="15" customHeight="1" x14ac:dyDescent="0.2">
      <c r="A49" s="29" t="str">
        <f ca="1">IF(OR(C49="",E49=""),"",IF(N(A49)=0,TODAY(),A49))</f>
        <v/>
      </c>
      <c r="B49" s="17"/>
      <c r="C49" s="19"/>
      <c r="D49" s="17" t="str">
        <f>IF(C49="","",VLOOKUP(C49,Inventory!$A$4:$B$21,2,FALSE()))</f>
        <v/>
      </c>
      <c r="E49" s="18"/>
      <c r="F49" s="31" t="str">
        <f>IF(C49="","",VLOOKUP(C49,Inventory!$A$4:$D$21,4,FALSE()))</f>
        <v/>
      </c>
      <c r="G49" s="31" t="str">
        <f>IF(OR(E49="",F49=""),"",E49*F49)</f>
        <v/>
      </c>
    </row>
    <row r="50" spans="1:7" ht="15" customHeight="1" x14ac:dyDescent="0.2">
      <c r="A50" s="29" t="str">
        <f ca="1">IF(OR(C50="",E50=""),"",IF(N(A50)=0,TODAY(),A50))</f>
        <v/>
      </c>
      <c r="B50" s="17"/>
      <c r="C50" s="19"/>
      <c r="D50" s="17" t="str">
        <f>IF(C50="","",VLOOKUP(C50,Inventory!$A$4:$B$21,2,FALSE()))</f>
        <v/>
      </c>
      <c r="E50" s="18"/>
      <c r="F50" s="31" t="str">
        <f>IF(C50="","",VLOOKUP(C50,Inventory!$A$4:$D$21,4,FALSE()))</f>
        <v/>
      </c>
      <c r="G50" s="31" t="str">
        <f>IF(OR(E50="",F50=""),"",E50*F50)</f>
        <v/>
      </c>
    </row>
    <row r="51" spans="1:7" ht="15" customHeight="1" x14ac:dyDescent="0.2">
      <c r="A51" s="56" t="s">
        <v>99</v>
      </c>
      <c r="B51" s="56"/>
      <c r="C51" s="56"/>
      <c r="D51" s="56"/>
      <c r="E51" s="56"/>
      <c r="F51" s="56"/>
      <c r="G51" s="41">
        <f>SUM(G4:G50)</f>
        <v>7722</v>
      </c>
    </row>
  </sheetData>
  <mergeCells count="3">
    <mergeCell ref="A1:G1"/>
    <mergeCell ref="A2:G2"/>
    <mergeCell ref="A51:F51"/>
  </mergeCells>
  <dataValidations count="1">
    <dataValidation type="list" allowBlank="1" showDropDown="1" showInputMessage="1" showErrorMessage="1" sqref="C4:C50" xr:uid="{00000000-0002-0000-0400-000000000000}">
      <formula1>"P001,P002,P003,P004,P005,P006,P007,P008,P009,P010,P011,P012,P013,P014,P015,P016,P017,P018"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9"/>
  <sheetViews>
    <sheetView tabSelected="1" topLeftCell="D1" zoomScale="50" zoomScaleNormal="50" workbookViewId="0">
      <pane ySplit="4" topLeftCell="D5" activePane="bottomLeft" state="frozen"/>
      <selection pane="bottomLeft" activeCell="A3" sqref="A3:F3"/>
    </sheetView>
  </sheetViews>
  <sheetFormatPr defaultColWidth="8.609375" defaultRowHeight="15" x14ac:dyDescent="0.2"/>
  <cols>
    <col min="1" max="1" width="22.05859375" style="15" customWidth="1"/>
    <col min="2" max="2" width="29.99609375" style="15" customWidth="1"/>
    <col min="3" max="3" width="14.9296875" style="15" customWidth="1"/>
    <col min="4" max="4" width="16.0078125" style="15" customWidth="1"/>
    <col min="5" max="5" width="14.9296875" style="15" customWidth="1"/>
    <col min="6" max="6" width="9.953125" style="15" customWidth="1"/>
    <col min="7" max="7" width="8.609375" style="24"/>
    <col min="8" max="11" width="13.046875" style="24" hidden="1" customWidth="1"/>
  </cols>
  <sheetData>
    <row r="1" spans="1:6" ht="33.75" customHeight="1" x14ac:dyDescent="0.2">
      <c r="A1" s="52" t="s">
        <v>100</v>
      </c>
      <c r="B1" s="52"/>
      <c r="C1" s="52"/>
      <c r="D1" s="52"/>
      <c r="E1" s="52"/>
      <c r="F1" s="52"/>
    </row>
    <row r="3" spans="1:6" ht="24" customHeight="1" x14ac:dyDescent="0.2">
      <c r="A3" s="51" t="s">
        <v>101</v>
      </c>
      <c r="B3" s="51"/>
      <c r="C3" s="51"/>
      <c r="D3" s="51"/>
      <c r="E3" s="51"/>
      <c r="F3" s="51"/>
    </row>
    <row r="4" spans="1:6" ht="27.75" customHeight="1" x14ac:dyDescent="0.2">
      <c r="A4" s="25" t="s">
        <v>16</v>
      </c>
      <c r="B4" s="25" t="s">
        <v>102</v>
      </c>
      <c r="C4" s="25" t="s">
        <v>94</v>
      </c>
      <c r="D4" s="25" t="s">
        <v>103</v>
      </c>
      <c r="E4" s="25" t="s">
        <v>104</v>
      </c>
      <c r="F4" s="25" t="s">
        <v>105</v>
      </c>
    </row>
    <row r="5" spans="1:6" ht="15" customHeight="1" x14ac:dyDescent="0.2">
      <c r="A5" s="29">
        <f ca="1">TODAY()-6</f>
        <v>46296</v>
      </c>
      <c r="B5" s="31">
        <f ca="1">SUMIFS('Sales Log'!$H$4:$H$120,'Sales Log'!$A$4:$A$120,A5)</f>
        <v>0</v>
      </c>
      <c r="C5" s="31">
        <f ca="1">SUMIFS('Sales Log'!$I$4:$I$120,'Sales Log'!$A$4:$A$120,A5)</f>
        <v>0</v>
      </c>
      <c r="D5" s="31">
        <f ca="1">B5-C5</f>
        <v>0</v>
      </c>
      <c r="E5" s="18">
        <f ca="1">SUMIFS('Sales Log'!$F$4:$F$120,'Sales Log'!$A$4:$A$120,A5)</f>
        <v>0</v>
      </c>
      <c r="F5" s="42" t="str">
        <f ca="1">IF(B5=0,"",D5/B5)</f>
        <v/>
      </c>
    </row>
    <row r="6" spans="1:6" ht="15" customHeight="1" x14ac:dyDescent="0.2">
      <c r="A6" s="29">
        <f ca="1">A5+1</f>
        <v>46297</v>
      </c>
      <c r="B6" s="31">
        <f ca="1">SUMIFS('Sales Log'!$H$4:$H$120,'Sales Log'!$A$4:$A$120,A6)</f>
        <v>0</v>
      </c>
      <c r="C6" s="31">
        <f ca="1">SUMIFS('Sales Log'!$I$4:$I$120,'Sales Log'!$A$4:$A$120,A6)</f>
        <v>0</v>
      </c>
      <c r="D6" s="31">
        <f ca="1">B6-C6</f>
        <v>0</v>
      </c>
      <c r="E6" s="18">
        <f ca="1">SUMIFS('Sales Log'!$F$4:$F$120,'Sales Log'!$A$4:$A$120,A6)</f>
        <v>0</v>
      </c>
      <c r="F6" s="42" t="str">
        <f ca="1">IF(B6=0,"",D6/B6)</f>
        <v/>
      </c>
    </row>
    <row r="7" spans="1:6" ht="15" customHeight="1" x14ac:dyDescent="0.2">
      <c r="A7" s="29">
        <f ca="1">A6+1</f>
        <v>46298</v>
      </c>
      <c r="B7" s="31">
        <f ca="1">SUMIFS('Sales Log'!$H$4:$H$120,'Sales Log'!$A$4:$A$120,A7)</f>
        <v>0</v>
      </c>
      <c r="C7" s="31">
        <f ca="1">SUMIFS('Sales Log'!$I$4:$I$120,'Sales Log'!$A$4:$A$120,A7)</f>
        <v>0</v>
      </c>
      <c r="D7" s="31">
        <f ca="1">B7-C7</f>
        <v>0</v>
      </c>
      <c r="E7" s="18">
        <f ca="1">SUMIFS('Sales Log'!$F$4:$F$120,'Sales Log'!$A$4:$A$120,A7)</f>
        <v>0</v>
      </c>
      <c r="F7" s="42" t="str">
        <f ca="1">IF(B7=0,"",D7/B7)</f>
        <v/>
      </c>
    </row>
    <row r="8" spans="1:6" ht="15" customHeight="1" x14ac:dyDescent="0.2">
      <c r="A8" s="29">
        <f ca="1">A7+1</f>
        <v>46299</v>
      </c>
      <c r="B8" s="31">
        <f ca="1">SUMIFS('Sales Log'!$H$4:$H$120,'Sales Log'!$A$4:$A$120,A8)</f>
        <v>0</v>
      </c>
      <c r="C8" s="31">
        <f ca="1">SUMIFS('Sales Log'!$I$4:$I$120,'Sales Log'!$A$4:$A$120,A8)</f>
        <v>0</v>
      </c>
      <c r="D8" s="31">
        <f ca="1">B8-C8</f>
        <v>0</v>
      </c>
      <c r="E8" s="18">
        <f ca="1">SUMIFS('Sales Log'!$F$4:$F$120,'Sales Log'!$A$4:$A$120,A8)</f>
        <v>0</v>
      </c>
      <c r="F8" s="42" t="str">
        <f ca="1">IF(B8=0,"",D8/B8)</f>
        <v/>
      </c>
    </row>
    <row r="9" spans="1:6" ht="15" customHeight="1" x14ac:dyDescent="0.2">
      <c r="A9" s="29">
        <f ca="1">A8+1</f>
        <v>46300</v>
      </c>
      <c r="B9" s="31">
        <f ca="1">SUMIFS('Sales Log'!$H$4:$H$120,'Sales Log'!$A$4:$A$120,A9)</f>
        <v>0</v>
      </c>
      <c r="C9" s="31">
        <f ca="1">SUMIFS('Sales Log'!$I$4:$I$120,'Sales Log'!$A$4:$A$120,A9)</f>
        <v>0</v>
      </c>
      <c r="D9" s="31">
        <f ca="1">B9-C9</f>
        <v>0</v>
      </c>
      <c r="E9" s="18">
        <f ca="1">SUMIFS('Sales Log'!$F$4:$F$120,'Sales Log'!$A$4:$A$120,A9)</f>
        <v>0</v>
      </c>
      <c r="F9" s="42" t="str">
        <f ca="1">IF(B9=0,"",D9/B9)</f>
        <v/>
      </c>
    </row>
    <row r="10" spans="1:6" ht="15" customHeight="1" x14ac:dyDescent="0.2">
      <c r="A10" s="29">
        <f ca="1">A9+1</f>
        <v>46301</v>
      </c>
      <c r="B10" s="31">
        <f ca="1">SUMIFS('Sales Log'!$H$4:$H$120,'Sales Log'!$A$4:$A$120,A10)</f>
        <v>0</v>
      </c>
      <c r="C10" s="31">
        <f ca="1">SUMIFS('Sales Log'!$I$4:$I$120,'Sales Log'!$A$4:$A$120,A10)</f>
        <v>0</v>
      </c>
      <c r="D10" s="31">
        <f ca="1">B10-C10</f>
        <v>0</v>
      </c>
      <c r="E10" s="18">
        <f ca="1">SUMIFS('Sales Log'!$F$4:$F$120,'Sales Log'!$A$4:$A$120,A10)</f>
        <v>0</v>
      </c>
      <c r="F10" s="42" t="str">
        <f ca="1">IF(B10=0,"",D10/B10)</f>
        <v/>
      </c>
    </row>
    <row r="11" spans="1:6" ht="15" customHeight="1" x14ac:dyDescent="0.2">
      <c r="A11" s="29">
        <f ca="1">A10+1</f>
        <v>46302</v>
      </c>
      <c r="B11" s="31">
        <f ca="1">SUMIFS('Sales Log'!$H$4:$H$120,'Sales Log'!$A$4:$A$120,A11)</f>
        <v>301</v>
      </c>
      <c r="C11" s="31">
        <f ca="1">SUMIFS('Sales Log'!$I$4:$I$120,'Sales Log'!$A$4:$A$120,A11)</f>
        <v>216</v>
      </c>
      <c r="D11" s="31">
        <f ca="1">B11-C11</f>
        <v>85</v>
      </c>
      <c r="E11" s="18">
        <f ca="1">SUMIFS('Sales Log'!$F$4:$F$120,'Sales Log'!$A$4:$A$120,A11)</f>
        <v>13</v>
      </c>
      <c r="F11" s="42">
        <f ca="1">IF(B11=0,"",D11/B11)</f>
        <v>0.28239202657807311</v>
      </c>
    </row>
    <row r="13" spans="1:6" ht="24" customHeight="1" x14ac:dyDescent="0.2">
      <c r="A13" s="51" t="s">
        <v>106</v>
      </c>
      <c r="B13" s="51"/>
      <c r="C13" s="51"/>
      <c r="D13" s="51"/>
      <c r="E13" s="51"/>
      <c r="F13" s="51"/>
    </row>
    <row r="14" spans="1:6" ht="27.75" customHeight="1" x14ac:dyDescent="0.2">
      <c r="A14" s="25" t="s">
        <v>107</v>
      </c>
      <c r="B14" s="25" t="s">
        <v>102</v>
      </c>
      <c r="C14" s="25" t="s">
        <v>94</v>
      </c>
      <c r="D14" s="25" t="s">
        <v>103</v>
      </c>
      <c r="E14" s="25" t="s">
        <v>104</v>
      </c>
      <c r="F14" s="25" t="s">
        <v>105</v>
      </c>
    </row>
    <row r="15" spans="1:6" ht="15" customHeight="1" x14ac:dyDescent="0.2">
      <c r="A15" s="43" t="s">
        <v>108</v>
      </c>
      <c r="B15" s="44">
        <f ca="1">SUMIFS('Sales Log'!$H$4:$H$120,'Sales Log'!$A$4:$A$120,TODAY())</f>
        <v>301</v>
      </c>
      <c r="C15" s="44">
        <f ca="1">SUMIFS('Sales Log'!$I$4:$I$120,'Sales Log'!$A$4:$A$120,TODAY())</f>
        <v>216</v>
      </c>
      <c r="D15" s="44">
        <f ca="1">B15-C15</f>
        <v>85</v>
      </c>
      <c r="E15" s="45">
        <f ca="1">SUMIFS('Sales Log'!$F$4:$F$120,'Sales Log'!$A$4:$A$120,TODAY())</f>
        <v>13</v>
      </c>
      <c r="F15" s="46">
        <f ca="1">IF(B15=0,"",D15/B15)</f>
        <v>0.28239202657807311</v>
      </c>
    </row>
    <row r="16" spans="1:6" ht="15" customHeight="1" x14ac:dyDescent="0.2">
      <c r="A16" s="43" t="s">
        <v>109</v>
      </c>
      <c r="B16" s="44">
        <f ca="1">SUMIFS('Sales Log'!$H$4:$H$120,'Sales Log'!$A$4:$A$120,"&gt;="&amp;TODAY()-WEEKDAY(TODAY(),2)+1,'Sales Log'!$A$4:$A$120,"&lt;"&amp;TODAY()-WEEKDAY(TODAY(),2)+8)</f>
        <v>301</v>
      </c>
      <c r="C16" s="44">
        <f ca="1">SUMIFS('Sales Log'!$I$4:$I$120,'Sales Log'!$A$4:$A$120,"&gt;="&amp;TODAY()-WEEKDAY(TODAY(),2)+1,'Sales Log'!$A$4:$A$120,"&lt;"&amp;TODAY()-WEEKDAY(TODAY(),2)+8)</f>
        <v>216</v>
      </c>
      <c r="D16" s="44">
        <f ca="1">B16-C16</f>
        <v>85</v>
      </c>
      <c r="E16" s="45">
        <f ca="1">SUMIFS('Sales Log'!$F$4:$F$120,'Sales Log'!$A$4:$A$120,"&gt;="&amp;TODAY()-WEEKDAY(TODAY(),2)+1,'Sales Log'!$A$4:$A$120,"&lt;"&amp;TODAY()-WEEKDAY(TODAY(),2)+8)</f>
        <v>13</v>
      </c>
      <c r="F16" s="46">
        <f ca="1">IF(B16=0,"",D16/B16)</f>
        <v>0.28239202657807311</v>
      </c>
    </row>
    <row r="17" spans="1:11" ht="15" customHeight="1" x14ac:dyDescent="0.2">
      <c r="A17" s="43" t="s">
        <v>110</v>
      </c>
      <c r="B17" s="44">
        <f ca="1">SUMIFS('Sales Log'!$H$4:$H$120,'Sales Log'!$A$4:$A$120,"&gt;="&amp;DATE(YEAR(TODAY()),MONTH(TODAY()),1),'Sales Log'!$A$4:$A$120,"&lt;="&amp;EOMONTH(TODAY(),0))</f>
        <v>301</v>
      </c>
      <c r="C17" s="44">
        <f ca="1">SUMIFS('Sales Log'!$I$4:$I$120,'Sales Log'!$A$4:$A$120,"&gt;="&amp;DATE(YEAR(TODAY()),MONTH(TODAY()),1),'Sales Log'!$A$4:$A$120,"&lt;="&amp;EOMONTH(TODAY(),0))</f>
        <v>216</v>
      </c>
      <c r="D17" s="44">
        <f ca="1">B17-C17</f>
        <v>85</v>
      </c>
      <c r="E17" s="45">
        <f ca="1">SUMIFS('Sales Log'!$F$4:$F$120,'Sales Log'!$A$4:$A$120,"&gt;="&amp;DATE(YEAR(TODAY()),MONTH(TODAY()),1),'Sales Log'!$A$4:$A$120,"&lt;="&amp;EOMONTH(TODAY(),0))</f>
        <v>13</v>
      </c>
      <c r="F17" s="46">
        <f ca="1">IF(B17=0,"",D17/B17)</f>
        <v>0.28239202657807311</v>
      </c>
    </row>
    <row r="19" spans="1:11" ht="24" customHeight="1" x14ac:dyDescent="0.2">
      <c r="A19" s="51" t="s">
        <v>14</v>
      </c>
      <c r="B19" s="51"/>
      <c r="C19" s="51"/>
      <c r="D19" s="51"/>
      <c r="E19" s="51"/>
      <c r="F19" s="51"/>
    </row>
    <row r="20" spans="1:11" ht="27.75" customHeight="1" x14ac:dyDescent="0.2">
      <c r="A20" s="25" t="s">
        <v>111</v>
      </c>
      <c r="B20" s="25" t="s">
        <v>9</v>
      </c>
      <c r="C20" s="25" t="s">
        <v>112</v>
      </c>
      <c r="D20" s="25" t="s">
        <v>102</v>
      </c>
      <c r="E20" s="25" t="s">
        <v>113</v>
      </c>
      <c r="F20" s="25"/>
    </row>
    <row r="21" spans="1:11" ht="15" customHeight="1" x14ac:dyDescent="0.2">
      <c r="A21" s="19">
        <v>1</v>
      </c>
      <c r="B21" s="17" t="str">
        <f>INDEX(Inventory!$B$4:$B$21,K21)</f>
        <v>Royal Tru-Orange 300ml</v>
      </c>
      <c r="C21" s="18">
        <f>INDEX($I$21:$I$38,K21)</f>
        <v>6</v>
      </c>
      <c r="D21" s="31">
        <f>SUMIFS('Sales Log'!$H$4:$H$120,'Sales Log'!$D$4:$D$120,INDEX($H$21:$H$38,K21))</f>
        <v>150</v>
      </c>
      <c r="E21" s="31">
        <f>SUMIFS('Sales Log'!$J$4:$J$120,'Sales Log'!$D$4:$D$120,INDEX($H$21:$H$38,K21))</f>
        <v>42</v>
      </c>
      <c r="H21" s="24" t="str">
        <f>Inventory!$A$4</f>
        <v>P001</v>
      </c>
      <c r="I21" s="24">
        <f>SUMIFS('Sales Log'!$F$4:$F$120,'Sales Log'!$D$4:$D$120,H21)</f>
        <v>5</v>
      </c>
      <c r="J21" s="24">
        <f>I21*1000+(1000-ROWS($H$21:H21))</f>
        <v>5999</v>
      </c>
      <c r="K21" s="24">
        <f>MATCH(LARGE($J$21:$J$38,A21),$J$21:$J$38,0)</f>
        <v>2</v>
      </c>
    </row>
    <row r="22" spans="1:11" ht="15" customHeight="1" x14ac:dyDescent="0.2">
      <c r="A22" s="19">
        <v>2</v>
      </c>
      <c r="B22" s="17" t="str">
        <f>INDEX(Inventory!$B$4:$B$21,K22)</f>
        <v>Coke Mismo 300ml</v>
      </c>
      <c r="C22" s="18">
        <f>INDEX($I$21:$I$38,K22)</f>
        <v>5</v>
      </c>
      <c r="D22" s="31">
        <f>SUMIFS('Sales Log'!$H$4:$H$120,'Sales Log'!$D$4:$D$120,INDEX($H$21:$H$38,K22))</f>
        <v>125</v>
      </c>
      <c r="E22" s="31">
        <f>SUMIFS('Sales Log'!$J$4:$J$120,'Sales Log'!$D$4:$D$120,INDEX($H$21:$H$38,K22))</f>
        <v>35</v>
      </c>
      <c r="H22" s="24" t="str">
        <f>Inventory!$A$5</f>
        <v>P002</v>
      </c>
      <c r="I22" s="24">
        <f>SUMIFS('Sales Log'!$F$4:$F$120,'Sales Log'!$D$4:$D$120,H22)</f>
        <v>6</v>
      </c>
      <c r="J22" s="24">
        <f>I22*1000+(1000-ROWS($H$21:H22))</f>
        <v>6998</v>
      </c>
      <c r="K22" s="24">
        <f>MATCH(LARGE($J$21:$J$38,A22),$J$21:$J$38,0)</f>
        <v>1</v>
      </c>
    </row>
    <row r="23" spans="1:11" ht="15" customHeight="1" x14ac:dyDescent="0.2">
      <c r="A23" s="19">
        <v>3</v>
      </c>
      <c r="B23" s="17" t="str">
        <f>INDEX(Inventory!$B$4:$B$21,K23)</f>
        <v>Lucky Me Instant Mami</v>
      </c>
      <c r="C23" s="18">
        <f>INDEX($I$21:$I$38,K23)</f>
        <v>2</v>
      </c>
      <c r="D23" s="31">
        <f>SUMIFS('Sales Log'!$H$4:$H$120,'Sales Log'!$D$4:$D$120,INDEX($H$21:$H$38,K23))</f>
        <v>26</v>
      </c>
      <c r="E23" s="31">
        <f>SUMIFS('Sales Log'!$J$4:$J$120,'Sales Log'!$D$4:$D$120,INDEX($H$21:$H$38,K23))</f>
        <v>8</v>
      </c>
      <c r="H23" s="24" t="str">
        <f>Inventory!$A$6</f>
        <v>P003</v>
      </c>
      <c r="I23" s="24">
        <f>SUMIFS('Sales Log'!$F$4:$F$120,'Sales Log'!$D$4:$D$120,H23)</f>
        <v>0</v>
      </c>
      <c r="J23" s="24">
        <f>I23*1000+(1000-ROWS($H$21:H23))</f>
        <v>997</v>
      </c>
      <c r="K23" s="24">
        <f>MATCH(LARGE($J$21:$J$38,A23),$J$21:$J$38,0)</f>
        <v>5</v>
      </c>
    </row>
    <row r="24" spans="1:11" ht="15" customHeight="1" x14ac:dyDescent="0.2">
      <c r="A24" s="19">
        <v>4</v>
      </c>
      <c r="B24" s="17" t="str">
        <f>INDEX(Inventory!$B$4:$B$21,K24)</f>
        <v>Sprite 300ml</v>
      </c>
      <c r="C24" s="18">
        <f>INDEX($I$21:$I$38,K24)</f>
        <v>0</v>
      </c>
      <c r="D24" s="31">
        <f>SUMIFS('Sales Log'!$H$4:$H$120,'Sales Log'!$D$4:$D$120,INDEX($H$21:$H$38,K24))</f>
        <v>0</v>
      </c>
      <c r="E24" s="31">
        <f>SUMIFS('Sales Log'!$J$4:$J$120,'Sales Log'!$D$4:$D$120,INDEX($H$21:$H$38,K24))</f>
        <v>0</v>
      </c>
      <c r="H24" s="24" t="str">
        <f>Inventory!$A$7</f>
        <v>P004</v>
      </c>
      <c r="I24" s="24">
        <f>SUMIFS('Sales Log'!$F$4:$F$120,'Sales Log'!$D$4:$D$120,H24)</f>
        <v>0</v>
      </c>
      <c r="J24" s="24">
        <f>I24*1000+(1000-ROWS($H$21:H24))</f>
        <v>996</v>
      </c>
      <c r="K24" s="24">
        <f>MATCH(LARGE($J$21:$J$38,A24),$J$21:$J$38,0)</f>
        <v>3</v>
      </c>
    </row>
    <row r="25" spans="1:11" ht="15" customHeight="1" x14ac:dyDescent="0.2">
      <c r="A25" s="19">
        <v>5</v>
      </c>
      <c r="B25" s="17" t="str">
        <f>INDEX(Inventory!$B$4:$B$21,K25)</f>
        <v>Lucky Me Pancit Canton</v>
      </c>
      <c r="C25" s="18">
        <f>INDEX($I$21:$I$38,K25)</f>
        <v>0</v>
      </c>
      <c r="D25" s="31">
        <f>SUMIFS('Sales Log'!$H$4:$H$120,'Sales Log'!$D$4:$D$120,INDEX($H$21:$H$38,K25))</f>
        <v>0</v>
      </c>
      <c r="E25" s="31">
        <f>SUMIFS('Sales Log'!$J$4:$J$120,'Sales Log'!$D$4:$D$120,INDEX($H$21:$H$38,K25))</f>
        <v>0</v>
      </c>
      <c r="H25" s="24" t="str">
        <f>Inventory!$A$8</f>
        <v>P005</v>
      </c>
      <c r="I25" s="24">
        <f>SUMIFS('Sales Log'!$F$4:$F$120,'Sales Log'!$D$4:$D$120,H25)</f>
        <v>2</v>
      </c>
      <c r="J25" s="24">
        <f>I25*1000+(1000-ROWS($H$21:H25))</f>
        <v>2995</v>
      </c>
      <c r="K25" s="24">
        <f>MATCH(LARGE($J$21:$J$38,A25),$J$21:$J$38,0)</f>
        <v>4</v>
      </c>
    </row>
    <row r="26" spans="1:11" ht="15" customHeight="1" x14ac:dyDescent="0.2">
      <c r="A26" s="19">
        <v>6</v>
      </c>
      <c r="B26" s="17" t="str">
        <f>INDEX(Inventory!$B$4:$B$21,K26)</f>
        <v>Nescafe 3in1 Coffee</v>
      </c>
      <c r="C26" s="18">
        <f>INDEX($I$21:$I$38,K26)</f>
        <v>0</v>
      </c>
      <c r="D26" s="31">
        <f>SUMIFS('Sales Log'!$H$4:$H$120,'Sales Log'!$D$4:$D$120,INDEX($H$21:$H$38,K26))</f>
        <v>0</v>
      </c>
      <c r="E26" s="31">
        <f>SUMIFS('Sales Log'!$J$4:$J$120,'Sales Log'!$D$4:$D$120,INDEX($H$21:$H$38,K26))</f>
        <v>0</v>
      </c>
      <c r="H26" s="24" t="str">
        <f>Inventory!$A$9</f>
        <v>P006</v>
      </c>
      <c r="I26" s="24">
        <f>SUMIFS('Sales Log'!$F$4:$F$120,'Sales Log'!$D$4:$D$120,H26)</f>
        <v>0</v>
      </c>
      <c r="J26" s="24">
        <f>I26*1000+(1000-ROWS($H$21:H26))</f>
        <v>994</v>
      </c>
      <c r="K26" s="24">
        <f>MATCH(LARGE($J$21:$J$38,A26),$J$21:$J$38,0)</f>
        <v>6</v>
      </c>
    </row>
    <row r="27" spans="1:11" ht="15" customHeight="1" x14ac:dyDescent="0.2">
      <c r="A27" s="19">
        <v>7</v>
      </c>
      <c r="B27" s="17" t="str">
        <f>INDEX(Inventory!$B$4:$B$21,K27)</f>
        <v>Great Taste White Coffee</v>
      </c>
      <c r="C27" s="18">
        <f>INDEX($I$21:$I$38,K27)</f>
        <v>0</v>
      </c>
      <c r="D27" s="31">
        <f>SUMIFS('Sales Log'!$H$4:$H$120,'Sales Log'!$D$4:$D$120,INDEX($H$21:$H$38,K27))</f>
        <v>0</v>
      </c>
      <c r="E27" s="31">
        <f>SUMIFS('Sales Log'!$J$4:$J$120,'Sales Log'!$D$4:$D$120,INDEX($H$21:$H$38,K27))</f>
        <v>0</v>
      </c>
      <c r="H27" s="24" t="str">
        <f>Inventory!$A$10</f>
        <v>P007</v>
      </c>
      <c r="I27" s="24">
        <f>SUMIFS('Sales Log'!$F$4:$F$120,'Sales Log'!$D$4:$D$120,H27)</f>
        <v>0</v>
      </c>
      <c r="J27" s="24">
        <f>I27*1000+(1000-ROWS($H$21:H27))</f>
        <v>993</v>
      </c>
      <c r="K27" s="24">
        <f>MATCH(LARGE($J$21:$J$38,A27),$J$21:$J$38,0)</f>
        <v>7</v>
      </c>
    </row>
    <row r="28" spans="1:11" ht="15" customHeight="1" x14ac:dyDescent="0.2">
      <c r="A28" s="19">
        <v>8</v>
      </c>
      <c r="B28" s="17" t="str">
        <f>INDEX(Inventory!$B$4:$B$21,K28)</f>
        <v>Bear Brand Powder 33g</v>
      </c>
      <c r="C28" s="18">
        <f>INDEX($I$21:$I$38,K28)</f>
        <v>0</v>
      </c>
      <c r="D28" s="31">
        <f>SUMIFS('Sales Log'!$H$4:$H$120,'Sales Log'!$D$4:$D$120,INDEX($H$21:$H$38,K28))</f>
        <v>0</v>
      </c>
      <c r="E28" s="31">
        <f>SUMIFS('Sales Log'!$J$4:$J$120,'Sales Log'!$D$4:$D$120,INDEX($H$21:$H$38,K28))</f>
        <v>0</v>
      </c>
      <c r="H28" s="24" t="str">
        <f>Inventory!$A$11</f>
        <v>P008</v>
      </c>
      <c r="I28" s="24">
        <f>SUMIFS('Sales Log'!$F$4:$F$120,'Sales Log'!$D$4:$D$120,H28)</f>
        <v>0</v>
      </c>
      <c r="J28" s="24">
        <f>I28*1000+(1000-ROWS($H$21:H28))</f>
        <v>992</v>
      </c>
      <c r="K28" s="24">
        <f>MATCH(LARGE($J$21:$J$38,A28),$J$21:$J$38,0)</f>
        <v>8</v>
      </c>
    </row>
    <row r="29" spans="1:11" ht="15" customHeight="1" x14ac:dyDescent="0.2">
      <c r="A29" s="19">
        <v>9</v>
      </c>
      <c r="B29" s="17" t="str">
        <f>INDEX(Inventory!$B$4:$B$21,K29)</f>
        <v>Alaska Powder 33g</v>
      </c>
      <c r="C29" s="18">
        <f>INDEX($I$21:$I$38,K29)</f>
        <v>0</v>
      </c>
      <c r="D29" s="31">
        <f>SUMIFS('Sales Log'!$H$4:$H$120,'Sales Log'!$D$4:$D$120,INDEX($H$21:$H$38,K29))</f>
        <v>0</v>
      </c>
      <c r="E29" s="31">
        <f>SUMIFS('Sales Log'!$J$4:$J$120,'Sales Log'!$D$4:$D$120,INDEX($H$21:$H$38,K29))</f>
        <v>0</v>
      </c>
      <c r="H29" s="24" t="str">
        <f>Inventory!$A$12</f>
        <v>P009</v>
      </c>
      <c r="I29" s="24">
        <f>SUMIFS('Sales Log'!$F$4:$F$120,'Sales Log'!$D$4:$D$120,H29)</f>
        <v>0</v>
      </c>
      <c r="J29" s="24">
        <f>I29*1000+(1000-ROWS($H$21:H29))</f>
        <v>991</v>
      </c>
      <c r="K29" s="24">
        <f>MATCH(LARGE($J$21:$J$38,A29),$J$21:$J$38,0)</f>
        <v>9</v>
      </c>
    </row>
    <row r="30" spans="1:11" ht="15" customHeight="1" x14ac:dyDescent="0.2">
      <c r="A30" s="19">
        <v>10</v>
      </c>
      <c r="B30" s="17" t="str">
        <f>INDEX(Inventory!$B$4:$B$21,K30)</f>
        <v>Argentinian Hotdog 250g</v>
      </c>
      <c r="C30" s="18">
        <f>INDEX($I$21:$I$38,K30)</f>
        <v>0</v>
      </c>
      <c r="D30" s="31">
        <f>SUMIFS('Sales Log'!$H$4:$H$120,'Sales Log'!$D$4:$D$120,INDEX($H$21:$H$38,K30))</f>
        <v>0</v>
      </c>
      <c r="E30" s="31">
        <f>SUMIFS('Sales Log'!$J$4:$J$120,'Sales Log'!$D$4:$D$120,INDEX($H$21:$H$38,K30))</f>
        <v>0</v>
      </c>
      <c r="H30" s="24" t="str">
        <f>Inventory!$A$13</f>
        <v>P010</v>
      </c>
      <c r="I30" s="24">
        <f>SUMIFS('Sales Log'!$F$4:$F$120,'Sales Log'!$D$4:$D$120,H30)</f>
        <v>0</v>
      </c>
      <c r="J30" s="24">
        <f>I30*1000+(1000-ROWS($H$21:H30))</f>
        <v>990</v>
      </c>
      <c r="K30" s="24">
        <f>MATCH(LARGE($J$21:$J$38,A30),$J$21:$J$38,0)</f>
        <v>10</v>
      </c>
    </row>
    <row r="31" spans="1:11" ht="15" customHeight="1" x14ac:dyDescent="0.2">
      <c r="A31" s="19">
        <v>11</v>
      </c>
      <c r="B31" s="17" t="str">
        <f>INDEX(Inventory!$B$4:$B$21,K31)</f>
        <v>CDO Karne Norte 100g</v>
      </c>
      <c r="C31" s="18">
        <f>INDEX($I$21:$I$38,K31)</f>
        <v>0</v>
      </c>
      <c r="D31" s="31">
        <f>SUMIFS('Sales Log'!$H$4:$H$120,'Sales Log'!$D$4:$D$120,INDEX($H$21:$H$38,K31))</f>
        <v>0</v>
      </c>
      <c r="E31" s="31">
        <f>SUMIFS('Sales Log'!$J$4:$J$120,'Sales Log'!$D$4:$D$120,INDEX($H$21:$H$38,K31))</f>
        <v>0</v>
      </c>
      <c r="H31" s="24" t="str">
        <f>Inventory!$A$14</f>
        <v>P011</v>
      </c>
      <c r="I31" s="24">
        <f>SUMIFS('Sales Log'!$F$4:$F$120,'Sales Log'!$D$4:$D$120,H31)</f>
        <v>0</v>
      </c>
      <c r="J31" s="24">
        <f>I31*1000+(1000-ROWS($H$21:H31))</f>
        <v>989</v>
      </c>
      <c r="K31" s="24">
        <f>MATCH(LARGE($J$21:$J$38,A31),$J$21:$J$38,0)</f>
        <v>11</v>
      </c>
    </row>
    <row r="32" spans="1:11" ht="15" customHeight="1" x14ac:dyDescent="0.2">
      <c r="A32" s="19">
        <v>12</v>
      </c>
      <c r="B32" s="17" t="str">
        <f>INDEX(Inventory!$B$4:$B$21,K32)</f>
        <v>Lucky Me! Go Cup</v>
      </c>
      <c r="C32" s="18">
        <f>INDEX($I$21:$I$38,K32)</f>
        <v>0</v>
      </c>
      <c r="D32" s="31">
        <f>SUMIFS('Sales Log'!$H$4:$H$120,'Sales Log'!$D$4:$D$120,INDEX($H$21:$H$38,K32))</f>
        <v>0</v>
      </c>
      <c r="E32" s="31">
        <f>SUMIFS('Sales Log'!$J$4:$J$120,'Sales Log'!$D$4:$D$120,INDEX($H$21:$H$38,K32))</f>
        <v>0</v>
      </c>
      <c r="H32" s="24" t="str">
        <f>Inventory!$A$15</f>
        <v>P012</v>
      </c>
      <c r="I32" s="24">
        <f>SUMIFS('Sales Log'!$F$4:$F$120,'Sales Log'!$D$4:$D$120,H32)</f>
        <v>0</v>
      </c>
      <c r="J32" s="24">
        <f>I32*1000+(1000-ROWS($H$21:H32))</f>
        <v>988</v>
      </c>
      <c r="K32" s="24">
        <f>MATCH(LARGE($J$21:$J$38,A32),$J$21:$J$38,0)</f>
        <v>12</v>
      </c>
    </row>
    <row r="33" spans="1:11" ht="15" customHeight="1" x14ac:dyDescent="0.2">
      <c r="A33" s="19">
        <v>13</v>
      </c>
      <c r="B33" s="17" t="str">
        <f>INDEX(Inventory!$B$4:$B$21,K33)</f>
        <v>Piatos Chips</v>
      </c>
      <c r="C33" s="18">
        <f>INDEX($I$21:$I$38,K33)</f>
        <v>0</v>
      </c>
      <c r="D33" s="31">
        <f>SUMIFS('Sales Log'!$H$4:$H$120,'Sales Log'!$D$4:$D$120,INDEX($H$21:$H$38,K33))</f>
        <v>0</v>
      </c>
      <c r="E33" s="31">
        <f>SUMIFS('Sales Log'!$J$4:$J$120,'Sales Log'!$D$4:$D$120,INDEX($H$21:$H$38,K33))</f>
        <v>0</v>
      </c>
      <c r="H33" s="24" t="str">
        <f>Inventory!$A$16</f>
        <v>P013</v>
      </c>
      <c r="I33" s="24">
        <f>SUMIFS('Sales Log'!$F$4:$F$120,'Sales Log'!$D$4:$D$120,H33)</f>
        <v>0</v>
      </c>
      <c r="J33" s="24">
        <f>I33*1000+(1000-ROWS($H$21:H33))</f>
        <v>987</v>
      </c>
      <c r="K33" s="24">
        <f>MATCH(LARGE($J$21:$J$38,A33),$J$21:$J$38,0)</f>
        <v>13</v>
      </c>
    </row>
    <row r="34" spans="1:11" ht="15" customHeight="1" x14ac:dyDescent="0.2">
      <c r="A34" s="19">
        <v>14</v>
      </c>
      <c r="B34" s="17" t="str">
        <f>INDEX(Inventory!$B$4:$B$21,K34)</f>
        <v>Chicharap</v>
      </c>
      <c r="C34" s="18">
        <f>INDEX($I$21:$I$38,K34)</f>
        <v>0</v>
      </c>
      <c r="D34" s="31">
        <f>SUMIFS('Sales Log'!$H$4:$H$120,'Sales Log'!$D$4:$D$120,INDEX($H$21:$H$38,K34))</f>
        <v>0</v>
      </c>
      <c r="E34" s="31">
        <f>SUMIFS('Sales Log'!$J$4:$J$120,'Sales Log'!$D$4:$D$120,INDEX($H$21:$H$38,K34))</f>
        <v>0</v>
      </c>
      <c r="H34" s="24" t="str">
        <f>Inventory!$A$17</f>
        <v>P014</v>
      </c>
      <c r="I34" s="24">
        <f>SUMIFS('Sales Log'!$F$4:$F$120,'Sales Log'!$D$4:$D$120,H34)</f>
        <v>0</v>
      </c>
      <c r="J34" s="24">
        <f>I34*1000+(1000-ROWS($H$21:H34))</f>
        <v>986</v>
      </c>
      <c r="K34" s="24">
        <f>MATCH(LARGE($J$21:$J$38,A34),$J$21:$J$38,0)</f>
        <v>14</v>
      </c>
    </row>
    <row r="35" spans="1:11" ht="15" customHeight="1" x14ac:dyDescent="0.2">
      <c r="A35" s="19">
        <v>15</v>
      </c>
      <c r="B35" s="17" t="str">
        <f>INDEX(Inventory!$B$4:$B$21,K35)</f>
        <v>Rice (per kg)</v>
      </c>
      <c r="C35" s="18">
        <f>INDEX($I$21:$I$38,K35)</f>
        <v>0</v>
      </c>
      <c r="D35" s="31">
        <f>SUMIFS('Sales Log'!$H$4:$H$120,'Sales Log'!$D$4:$D$120,INDEX($H$21:$H$38,K35))</f>
        <v>0</v>
      </c>
      <c r="E35" s="31">
        <f>SUMIFS('Sales Log'!$J$4:$J$120,'Sales Log'!$D$4:$D$120,INDEX($H$21:$H$38,K35))</f>
        <v>0</v>
      </c>
      <c r="H35" s="24" t="str">
        <f>Inventory!$A$18</f>
        <v>P015</v>
      </c>
      <c r="I35" s="24">
        <f>SUMIFS('Sales Log'!$F$4:$F$120,'Sales Log'!$D$4:$D$120,H35)</f>
        <v>0</v>
      </c>
      <c r="J35" s="24">
        <f>I35*1000+(1000-ROWS($H$21:H35))</f>
        <v>985</v>
      </c>
      <c r="K35" s="24">
        <f>MATCH(LARGE($J$21:$J$38,A35),$J$21:$J$38,0)</f>
        <v>15</v>
      </c>
    </row>
    <row r="36" spans="1:11" ht="15" customHeight="1" x14ac:dyDescent="0.2">
      <c r="A36" s="19">
        <v>16</v>
      </c>
      <c r="B36" s="17" t="str">
        <f>INDEX(Inventory!$B$4:$B$21,K36)</f>
        <v>Egg (per piece)</v>
      </c>
      <c r="C36" s="18">
        <f>INDEX($I$21:$I$38,K36)</f>
        <v>0</v>
      </c>
      <c r="D36" s="31">
        <f>SUMIFS('Sales Log'!$H$4:$H$120,'Sales Log'!$D$4:$D$120,INDEX($H$21:$H$38,K36))</f>
        <v>0</v>
      </c>
      <c r="E36" s="31">
        <f>SUMIFS('Sales Log'!$J$4:$J$120,'Sales Log'!$D$4:$D$120,INDEX($H$21:$H$38,K36))</f>
        <v>0</v>
      </c>
      <c r="H36" s="24" t="str">
        <f>Inventory!$A$19</f>
        <v>P016</v>
      </c>
      <c r="I36" s="24">
        <f>SUMIFS('Sales Log'!$F$4:$F$120,'Sales Log'!$D$4:$D$120,H36)</f>
        <v>0</v>
      </c>
      <c r="J36" s="24">
        <f>I36*1000+(1000-ROWS($H$21:H36))</f>
        <v>984</v>
      </c>
      <c r="K36" s="24">
        <f>MATCH(LARGE($J$21:$J$38,A36),$J$21:$J$38,0)</f>
        <v>16</v>
      </c>
    </row>
    <row r="37" spans="1:11" ht="15" customHeight="1" x14ac:dyDescent="0.2">
      <c r="A37" s="19">
        <v>17</v>
      </c>
      <c r="B37" s="17" t="str">
        <f>INDEX(Inventory!$B$4:$B$21,K37)</f>
        <v>Datu Puti Vinegar 350ml</v>
      </c>
      <c r="C37" s="18">
        <f>INDEX($I$21:$I$38,K37)</f>
        <v>0</v>
      </c>
      <c r="D37" s="31">
        <f>SUMIFS('Sales Log'!$H$4:$H$120,'Sales Log'!$D$4:$D$120,INDEX($H$21:$H$38,K37))</f>
        <v>0</v>
      </c>
      <c r="E37" s="31">
        <f>SUMIFS('Sales Log'!$J$4:$J$120,'Sales Log'!$D$4:$D$120,INDEX($H$21:$H$38,K37))</f>
        <v>0</v>
      </c>
      <c r="H37" s="24" t="str">
        <f>Inventory!$A$20</f>
        <v>P017</v>
      </c>
      <c r="I37" s="24">
        <f>SUMIFS('Sales Log'!$F$4:$F$120,'Sales Log'!$D$4:$D$120,H37)</f>
        <v>0</v>
      </c>
      <c r="J37" s="24">
        <f>I37*1000+(1000-ROWS($H$21:H37))</f>
        <v>983</v>
      </c>
      <c r="K37" s="24">
        <f>MATCH(LARGE($J$21:$J$38,A37),$J$21:$J$38,0)</f>
        <v>17</v>
      </c>
    </row>
    <row r="38" spans="1:11" ht="15" customHeight="1" x14ac:dyDescent="0.2">
      <c r="A38" s="19">
        <v>18</v>
      </c>
      <c r="B38" s="17" t="str">
        <f>INDEX(Inventory!$B$4:$B$21,K38)</f>
        <v>Silver Swan Soy Sauce 350ml</v>
      </c>
      <c r="C38" s="18">
        <f>INDEX($I$21:$I$38,K38)</f>
        <v>0</v>
      </c>
      <c r="D38" s="31">
        <f>SUMIFS('Sales Log'!$H$4:$H$120,'Sales Log'!$D$4:$D$120,INDEX($H$21:$H$38,K38))</f>
        <v>0</v>
      </c>
      <c r="E38" s="31">
        <f>SUMIFS('Sales Log'!$J$4:$J$120,'Sales Log'!$D$4:$D$120,INDEX($H$21:$H$38,K38))</f>
        <v>0</v>
      </c>
      <c r="H38" s="24" t="str">
        <f>Inventory!$A$21</f>
        <v>P018</v>
      </c>
      <c r="I38" s="24">
        <f>SUMIFS('Sales Log'!$F$4:$F$120,'Sales Log'!$D$4:$D$120,H38)</f>
        <v>0</v>
      </c>
      <c r="J38" s="24">
        <f>I38*1000+(1000-ROWS($H$21:H38))</f>
        <v>982</v>
      </c>
      <c r="K38" s="24">
        <f>MATCH(LARGE($J$21:$J$38,A38),$J$21:$J$38,0)</f>
        <v>18</v>
      </c>
    </row>
    <row r="39" spans="1:11" ht="15" customHeight="1" x14ac:dyDescent="0.2"/>
  </sheetData>
  <mergeCells count="4">
    <mergeCell ref="A1:F1"/>
    <mergeCell ref="A3:F3"/>
    <mergeCell ref="A13:F13"/>
    <mergeCell ref="A19:F19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Sales Log</vt:lpstr>
      <vt:lpstr>Inventory</vt:lpstr>
      <vt:lpstr>Credit Ledger</vt:lpstr>
      <vt:lpstr>Purchases</vt:lpstr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3</cp:revision>
  <dcterms:created xsi:type="dcterms:W3CDTF">2026-10-01T11:19:13Z</dcterms:created>
  <dcterms:modified xsi:type="dcterms:W3CDTF">2026-10-07T04:43:51Z</dcterms:modified>
  <dc:language>en-US</dc:language>
</cp:coreProperties>
</file>